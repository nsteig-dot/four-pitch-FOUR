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BA" sheetId="2" state="visible" r:id="rId4"/>
    <sheet name="AMZN" sheetId="3" state="visible" r:id="rId5"/>
    <sheet name="FOUR" sheetId="4" state="visible" r:id="rId6"/>
    <sheet name="WBD" sheetId="5" state="visible" r:id="rId7"/>
    <sheet name="XPOF" sheetId="6" state="visible" r:id="rId8"/>
    <sheet name="ST" sheetId="7" state="visible" r:id="rId9"/>
    <sheet name="RDDT" sheetId="8" state="visible" r:id="rId10"/>
  </sheets>
  <definedNames>
    <definedName function="false" hidden="false" localSheetId="2" name="_xlnm.Print_Area" vbProcedure="false">AMZN!$B$2:$K$67</definedName>
    <definedName function="false" hidden="false" localSheetId="1" name="_xlnm.Print_Area" vbProcedure="false">BABA!$B$21:$K$122</definedName>
    <definedName function="false" hidden="false" localSheetId="3" name="_xlnm.Print_Area" vbProcedure="false">FOUR!$B$2:$K$50</definedName>
    <definedName function="false" hidden="false" localSheetId="6" name="_xlnm.Print_Area" vbProcedure="false">ST!$B$2:$K$51</definedName>
    <definedName function="false" hidden="false" localSheetId="0" name="_xlnm.Print_Area" vbProcedure="false">Summary!$B$3:$K$11</definedName>
    <definedName function="false" hidden="false" localSheetId="4" name="_xlnm.Print_Area" vbProcedure="false">WBD!$B$2:$K$115</definedName>
    <definedName function="false" hidden="false" localSheetId="5" name="_xlnm.Print_Area" vbProcedure="false">XPOF!$B$2:$M$94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45703.7184837963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Timothy Wang</author>
  </authors>
  <commentList>
    <comment ref="C41" authorId="0">
      <text>
        <r>
          <rPr>
            <sz val="10"/>
            <rFont val="Arial"/>
            <family val="2"/>
          </rPr>
          <t xml:space="preserve">Conservatively assumes SBC offsets share repurchases, so share count stays unchanged</t>
        </r>
      </text>
    </comment>
    <comment ref="C54" authorId="0">
      <text>
        <r>
          <rPr>
            <sz val="10"/>
            <rFont val="Arial"/>
            <family val="2"/>
          </rPr>
          <t xml:space="preserve">Investment / interest income probably more than outweighs interest expense, so conservatively assumes this is $0</t>
        </r>
      </text>
    </comment>
  </commentList>
</comments>
</file>

<file path=xl/sharedStrings.xml><?xml version="1.0" encoding="utf-8"?>
<sst xmlns="http://schemas.openxmlformats.org/spreadsheetml/2006/main" count="624" uniqueCount="229">
  <si>
    <t xml:space="preserve">Current Assumptions</t>
  </si>
  <si>
    <t xml:space="preserve">Exit Upside</t>
  </si>
  <si>
    <t xml:space="preserve">Ticker</t>
  </si>
  <si>
    <t xml:space="preserve">Current Date</t>
  </si>
  <si>
    <t xml:space="preserve">Share Price</t>
  </si>
  <si>
    <t xml:space="preserve">2025E EV / EBITDA</t>
  </si>
  <si>
    <t xml:space="preserve">2026E EV / EBITDA</t>
  </si>
  <si>
    <t xml:space="preserve">Exit Date</t>
  </si>
  <si>
    <t xml:space="preserve">EV / EBITDA</t>
  </si>
  <si>
    <t xml:space="preserve">IRR</t>
  </si>
  <si>
    <t xml:space="preserve">MOIC</t>
  </si>
  <si>
    <t xml:space="preserve">BABA</t>
  </si>
  <si>
    <t xml:space="preserve">AMZN</t>
  </si>
  <si>
    <t xml:space="preserve">FOUR</t>
  </si>
  <si>
    <t xml:space="preserve">WBD</t>
  </si>
  <si>
    <t xml:space="preserve">XPOF</t>
  </si>
  <si>
    <t xml:space="preserve">ST</t>
  </si>
  <si>
    <t xml:space="preserve">RDDT</t>
  </si>
  <si>
    <t xml:space="preserve">FX</t>
  </si>
  <si>
    <t xml:space="preserve">(RMB, FYE March)</t>
  </si>
  <si>
    <t xml:space="preserve">FY2022A</t>
  </si>
  <si>
    <t xml:space="preserve">FY2023A</t>
  </si>
  <si>
    <t xml:space="preserve">FY2024A</t>
  </si>
  <si>
    <t xml:space="preserve">FY2025A</t>
  </si>
  <si>
    <t xml:space="preserve">Revenue</t>
  </si>
  <si>
    <t xml:space="preserve">TTG (Taobao &amp; Tmall Group)</t>
  </si>
  <si>
    <t xml:space="preserve">Cloud Intelligence Group</t>
  </si>
  <si>
    <t xml:space="preserve">AIDC (International Commerce)</t>
  </si>
  <si>
    <t xml:space="preserve">Cainiao (Smart Logistics)</t>
  </si>
  <si>
    <t xml:space="preserve">Local Services</t>
  </si>
  <si>
    <t xml:space="preserve">All Others</t>
  </si>
  <si>
    <t xml:space="preserve">Consolidated Total</t>
  </si>
  <si>
    <t xml:space="preserve">EBITA</t>
  </si>
  <si>
    <t xml:space="preserve">Current Capitalization</t>
  </si>
  <si>
    <t xml:space="preserve">Current Share Price</t>
  </si>
  <si>
    <t xml:space="preserve">Shares Outstanding</t>
  </si>
  <si>
    <t xml:space="preserve">Market Cap</t>
  </si>
  <si>
    <t xml:space="preserve">(+) Debt</t>
  </si>
  <si>
    <t xml:space="preserve">(-) Cash</t>
  </si>
  <si>
    <t xml:space="preserve">(+) Minority Interest</t>
  </si>
  <si>
    <t xml:space="preserve">TEV</t>
  </si>
  <si>
    <t xml:space="preserve">FY2030E EBITDA</t>
  </si>
  <si>
    <t xml:space="preserve">Multiple</t>
  </si>
  <si>
    <t xml:space="preserve">(-) Current Debt</t>
  </si>
  <si>
    <t xml:space="preserve">(+) Current Cash</t>
  </si>
  <si>
    <t xml:space="preserve">(-) Current Minority Interest</t>
  </si>
  <si>
    <t xml:space="preserve">(+) Cumulative Levered FCF</t>
  </si>
  <si>
    <t xml:space="preserve">Current Shares Outstanding</t>
  </si>
  <si>
    <t xml:space="preserve">Implied Share Price</t>
  </si>
  <si>
    <t xml:space="preserve">Remaining Upside</t>
  </si>
  <si>
    <t xml:space="preserve">Gross Upside</t>
  </si>
  <si>
    <t xml:space="preserve">Memo: Cash Flows</t>
  </si>
  <si>
    <t xml:space="preserve">Cumulative Revenue</t>
  </si>
  <si>
    <t xml:space="preserve">Cumulative D&amp;A</t>
  </si>
  <si>
    <t xml:space="preserve">Cumulative EBITDA</t>
  </si>
  <si>
    <t xml:space="preserve">(-) Interest </t>
  </si>
  <si>
    <t xml:space="preserve">(-) Taxes</t>
  </si>
  <si>
    <t xml:space="preserve">(-) Capex</t>
  </si>
  <si>
    <t xml:space="preserve">Cumulative Levered FCF</t>
  </si>
  <si>
    <t xml:space="preserve">Current TEV / EBITDA</t>
  </si>
  <si>
    <t xml:space="preserve">Illustrative TEV / FY 2026E EBITDA</t>
  </si>
  <si>
    <t xml:space="preserve">Implied TEV</t>
  </si>
  <si>
    <t xml:space="preserve">(-) Net Debt &amp; Other</t>
  </si>
  <si>
    <t xml:space="preserve">Implied Market Cap</t>
  </si>
  <si>
    <t xml:space="preserve">Premium / Discount to Current</t>
  </si>
  <si>
    <t xml:space="preserve">(USD, FYE March)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</si>
  <si>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</si>
  <si>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</si>
  <si>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</si>
  <si>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</si>
  <si>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</si>
  <si>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EBITDA</t>
  </si>
  <si>
    <t xml:space="preserve">D&amp;A</t>
  </si>
  <si>
    <t xml:space="preserve">Revenue - YoY Growth %</t>
  </si>
  <si>
    <t xml:space="preserve">EBITDA  - YoY Growth %</t>
  </si>
  <si>
    <t xml:space="preserve">EBITDA  - % Margin</t>
  </si>
  <si>
    <t xml:space="preserve">EBITDA  - % of Total</t>
  </si>
  <si>
    <t xml:space="preserve">Diluted Shares Outstanding</t>
  </si>
  <si>
    <t xml:space="preserve">(+) Net Debt </t>
  </si>
  <si>
    <t xml:space="preserve">Exit</t>
  </si>
  <si>
    <t xml:space="preserve">2030E EBITDA</t>
  </si>
  <si>
    <t xml:space="preserve">(-) Current Net Debt </t>
  </si>
  <si>
    <t xml:space="preserve">Cumulative Interest Expense</t>
  </si>
  <si>
    <t xml:space="preserve">Cumulative Capex</t>
  </si>
  <si>
    <t xml:space="preserve">Cumulative Taxes</t>
  </si>
  <si>
    <t xml:space="preserve">'25E - '30E</t>
  </si>
  <si>
    <t xml:space="preserve">2023A</t>
  </si>
  <si>
    <t xml:space="preserve">2024A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</si>
  <si>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</si>
  <si>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</si>
  <si>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</si>
  <si>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</si>
  <si>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</si>
  <si>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</si>
  <si>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CAGR</t>
  </si>
  <si>
    <t xml:space="preserve">North America</t>
  </si>
  <si>
    <t xml:space="preserve">International</t>
  </si>
  <si>
    <t xml:space="preserve">AWS</t>
  </si>
  <si>
    <t xml:space="preserve">Total</t>
  </si>
  <si>
    <t xml:space="preserve">% Growth</t>
  </si>
  <si>
    <t xml:space="preserve">Operating Income</t>
  </si>
  <si>
    <t xml:space="preserve">% Margin</t>
  </si>
  <si>
    <t xml:space="preserve">% Revenue</t>
  </si>
  <si>
    <t xml:space="preserve">Capex</t>
  </si>
  <si>
    <t xml:space="preserve">EBITDA - % Growth</t>
  </si>
  <si>
    <t xml:space="preserve">Position Summary (April 2026)</t>
  </si>
  <si>
    <t xml:space="preserve">Entry Price</t>
  </si>
  <si>
    <t xml:space="preserve">Entry Date</t>
  </si>
  <si>
    <t xml:space="preserve">Thesis</t>
  </si>
  <si>
    <t xml:space="preserve">Quasi-LBO: fixed debt, growing FCF, equity absorbs disproportionate EV creation. 12% EBITDA CAGR, 10x exit, $255+ target.</t>
  </si>
  <si>
    <t xml:space="preserve">(x) FDSO</t>
  </si>
  <si>
    <t xml:space="preserve">(+) Net Debt</t>
  </si>
  <si>
    <t xml:space="preserve">(-) Net Debt</t>
  </si>
  <si>
    <t xml:space="preserve">(/) FDSO</t>
  </si>
  <si>
    <t xml:space="preserve">2022A</t>
  </si>
  <si>
    <t xml:space="preserve">Studios</t>
  </si>
  <si>
    <t xml:space="preserve">Networks</t>
  </si>
  <si>
    <t xml:space="preserve">DTC</t>
  </si>
  <si>
    <t xml:space="preserve">Elims and Adj.</t>
  </si>
  <si>
    <t xml:space="preserve">Total Revenue</t>
  </si>
  <si>
    <t xml:space="preserve">Adj. EBITDA</t>
  </si>
  <si>
    <t xml:space="preserve">Total Adj. EBITDA</t>
  </si>
  <si>
    <t xml:space="preserve">Net Debt</t>
  </si>
  <si>
    <t xml:space="preserve">Net Leverage</t>
  </si>
  <si>
    <t xml:space="preserve">Domestic Subscribers</t>
  </si>
  <si>
    <t xml:space="preserve">International Subscribers</t>
  </si>
  <si>
    <t xml:space="preserve">Total DTC Subscribers</t>
  </si>
  <si>
    <t xml:space="preserve">Domestic DTC ARPU</t>
  </si>
  <si>
    <t xml:space="preserve">International DTC ARPU</t>
  </si>
  <si>
    <t xml:space="preserve">Total Blended ARPU</t>
  </si>
  <si>
    <t xml:space="preserve">Domestic DTC Revenue</t>
  </si>
  <si>
    <t xml:space="preserve">International DTC Revenue</t>
  </si>
  <si>
    <t xml:space="preserve">Total DTC Revenue</t>
  </si>
  <si>
    <t xml:space="preserve">Adj. EBITDA - YoY Growth %</t>
  </si>
  <si>
    <t xml:space="preserve">Adj. EBITDA Margin %</t>
  </si>
  <si>
    <t xml:space="preserve">Revenue - % of Total</t>
  </si>
  <si>
    <t xml:space="preserve">Adj. EBITDA - % of Total</t>
  </si>
  <si>
    <t xml:space="preserve">DTC - YoY Growth %</t>
  </si>
  <si>
    <t xml:space="preserve">New DTC Subscribers</t>
  </si>
  <si>
    <t xml:space="preserve">ARPU</t>
  </si>
  <si>
    <t xml:space="preserve">New Revenue</t>
  </si>
  <si>
    <t xml:space="preserve">Existing DTC Subscribers</t>
  </si>
  <si>
    <t xml:space="preserve">% Churn</t>
  </si>
  <si>
    <t xml:space="preserve">Lost Revenue</t>
  </si>
  <si>
    <t xml:space="preserve">Net DTC Revenue</t>
  </si>
  <si>
    <t xml:space="preserve">DTC Drop-Through to EBITDA</t>
  </si>
  <si>
    <t xml:space="preserve">Implied EBITDA Uplift</t>
  </si>
  <si>
    <t xml:space="preserve">(+) Net Debt &amp; NCI</t>
  </si>
  <si>
    <t xml:space="preserve">(-) Current Net Debt &amp; NCI</t>
  </si>
  <si>
    <t xml:space="preserve">($ in millions except per unit)</t>
  </si>
  <si>
    <t xml:space="preserve">2021A</t>
  </si>
  <si>
    <t xml:space="preserve">'25E - '30E CAGR</t>
  </si>
  <si>
    <t xml:space="preserve">Club Pilates</t>
  </si>
  <si>
    <t xml:space="preserve">StretchLab</t>
  </si>
  <si>
    <t xml:space="preserve">Pure Barre</t>
  </si>
  <si>
    <t xml:space="preserve">YogaSix</t>
  </si>
  <si>
    <t xml:space="preserve">Systemwide Sales</t>
  </si>
  <si>
    <t xml:space="preserve">Implied Blended AUV ($000s)</t>
  </si>
  <si>
    <t xml:space="preserve">Core EBITDA Contribution</t>
  </si>
  <si>
    <t xml:space="preserve">Core Brand EBITDA</t>
  </si>
  <si>
    <t xml:space="preserve">(+) Other Brands and Int'l EBITDA</t>
  </si>
  <si>
    <t xml:space="preserve">(-) Overhead &amp; Other Expense</t>
  </si>
  <si>
    <t xml:space="preserve">Implied Blended SSS</t>
  </si>
  <si>
    <t xml:space="preserve">Studios - # Change</t>
  </si>
  <si>
    <t xml:space="preserve">Studios - % Change</t>
  </si>
  <si>
    <t xml:space="preserve">EBITDA Contribution %</t>
  </si>
  <si>
    <t xml:space="preserve">Reference: Unit Economics</t>
  </si>
  <si>
    <t xml:space="preserve">Brand</t>
  </si>
  <si>
    <t xml:space="preserve">Est. Four-Wall Margin</t>
  </si>
  <si>
    <t xml:space="preserve">Unit Investment (Est.)</t>
  </si>
  <si>
    <t xml:space="preserve">Sales ÷ Investment Ratio</t>
  </si>
  <si>
    <t xml:space="preserve">35–40%</t>
  </si>
  <si>
    <t xml:space="preserve">$250K–$300K</t>
  </si>
  <si>
    <t xml:space="preserve">~3.7x–4.1x</t>
  </si>
  <si>
    <t xml:space="preserve">25–30%</t>
  </si>
  <si>
    <t xml:space="preserve">$160K–$250K</t>
  </si>
  <si>
    <t xml:space="preserve">~2.2x–3.4x</t>
  </si>
  <si>
    <t xml:space="preserve">$180K–$300K</t>
  </si>
  <si>
    <t xml:space="preserve">~1.3x–2.2x</t>
  </si>
  <si>
    <t xml:space="preserve">$225K–$350K</t>
  </si>
  <si>
    <t xml:space="preserve">~1.3x–2.1x</t>
  </si>
  <si>
    <t xml:space="preserve">All Other Brands</t>
  </si>
  <si>
    <t xml:space="preserve">&lt;25%</t>
  </si>
  <si>
    <t xml:space="preserve">$200K–$400K</t>
  </si>
  <si>
    <t xml:space="preserve">~1.2x–2.3x</t>
  </si>
  <si>
    <t xml:space="preserve">(+) Debt </t>
  </si>
  <si>
    <t xml:space="preserve">(USD $M, FYE December)</t>
  </si>
  <si>
    <t xml:space="preserve">'26E-'30E</t>
  </si>
  <si>
    <t xml:space="preserve">Advertising</t>
  </si>
  <si>
    <t xml:space="preserve">Data Licensing</t>
  </si>
  <si>
    <t xml:space="preserve">Other Revenue</t>
  </si>
  <si>
    <t xml:space="preserve">Revenue Mix %</t>
  </si>
  <si>
    <t xml:space="preserve">Key Operating Metrics</t>
  </si>
  <si>
    <t xml:space="preserve">DAUq (M)</t>
  </si>
  <si>
    <t xml:space="preserve">DAUq YoY Growth</t>
  </si>
  <si>
    <t xml:space="preserve">Global ARPU ($)</t>
  </si>
  <si>
    <t xml:space="preserve">ARPU YoY Growth</t>
  </si>
  <si>
    <t xml:space="preserve">Cost Structure</t>
  </si>
  <si>
    <t xml:space="preserve">Cost of Revenue</t>
  </si>
  <si>
    <t xml:space="preserve">Gross Profit</t>
  </si>
  <si>
    <t xml:space="preserve">Gross Margin</t>
  </si>
  <si>
    <t xml:space="preserve">Operating Expenses</t>
  </si>
  <si>
    <t xml:space="preserve">R&amp;D</t>
  </si>
  <si>
    <t xml:space="preserve">% of Revenue</t>
  </si>
  <si>
    <t xml:space="preserve">S&amp;M</t>
  </si>
  <si>
    <t xml:space="preserve">G&amp;A</t>
  </si>
  <si>
    <t xml:space="preserve">Total OpEx</t>
  </si>
  <si>
    <t xml:space="preserve">EBITDA Margin</t>
  </si>
  <si>
    <t xml:space="preserve">EBITDA YoY Growth</t>
  </si>
  <si>
    <t xml:space="preserve">Capital Expenditure</t>
  </si>
  <si>
    <t xml:space="preserve">Stock-Based Compensation</t>
  </si>
  <si>
    <t xml:space="preserve">Free Cash Flow</t>
  </si>
  <si>
    <t xml:space="preserve">FCF Margin</t>
  </si>
  <si>
    <t xml:space="preserve">Diluted Shares Outstanding (M)</t>
  </si>
  <si>
    <t xml:space="preserve">(+) Total Debt</t>
  </si>
  <si>
    <t xml:space="preserve">(-) Cash &amp; Equivalents</t>
  </si>
  <si>
    <t xml:space="preserve">2027E EV / EBITDA</t>
  </si>
  <si>
    <t xml:space="preserve">Exit EV / EBITDA Multiple</t>
  </si>
  <si>
    <t xml:space="preserve">(-) Current Net Debt</t>
  </si>
  <si>
    <t xml:space="preserve">Illustrative EV / FY2030E EBITDA Sensitivity</t>
  </si>
  <si>
    <t xml:space="preserve">Exit Multiple</t>
  </si>
  <si>
    <t xml:space="preserve">Plus: Net Cash</t>
  </si>
  <si>
    <t xml:space="preserve">Plus: Cumulative FCF</t>
  </si>
  <si>
    <t xml:space="preserve">Upside / (Downside)</t>
  </si>
  <si>
    <t xml:space="preserve">Implied IRR</t>
  </si>
  <si>
    <t xml:space="preserve">Memo: Cash Flow Bridge</t>
  </si>
  <si>
    <t xml:space="preserve">Cumulative Revenue (FY26E-30E)</t>
  </si>
  <si>
    <t xml:space="preserve">(-) Interest Expense</t>
  </si>
  <si>
    <t xml:space="preserve">(-) Cumulative Capex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</si>
</sst>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m/d/yyyy"/>
    <numFmt numFmtId="166" formatCode="\$#,##0.00_);&quot;($&quot;#,##0.00\)"/>
    <numFmt numFmtId="167" formatCode="0.0\x"/>
    <numFmt numFmtId="168" formatCode="0.0%;\(0.0\)%"/>
    <numFmt numFmtId="169" formatCode="#,##0.0_);\(#,##0.0\)"/>
    <numFmt numFmtId="170" formatCode="0%"/>
    <numFmt numFmtId="171" formatCode="0%;\(0\)%"/>
    <numFmt numFmtId="172" formatCode="\$#,##0.0_);&quot;($&quot;#,##0.0\)"/>
    <numFmt numFmtId="173" formatCode="#,##0_);\(#,##0\)"/>
    <numFmt numFmtId="174" formatCode="yyyy\-mm\-dd\ h:mm:ss"/>
    <numFmt numFmtId="175" formatCode="\$#,##0_);&quot;($&quot;#,##0\)"/>
    <numFmt numFmtId="176" formatCode="#,##0.00_);\(#,##0.00\)"/>
    <numFmt numFmtId="177" formatCode="#,##0"/>
    <numFmt numFmtId="178" formatCode="\$#,##0_);[RED]&quot;($&quot;#,##0\)"/>
    <numFmt numFmtId="179" formatCode="#,##0;\(#,##0\);\-"/>
    <numFmt numFmtId="180" formatCode="0.0%"/>
    <numFmt numFmtId="181" formatCode="\$#,##0.00"/>
    <numFmt numFmtId="182" formatCode="#,##0.0"/>
    <numFmt numFmtId="183" formatCode="0.0"/>
  </numFmts>
  <fonts count="2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b val="true"/>
      <u val="single"/>
      <sz val="10"/>
      <color theme="1"/>
      <name val="Times New Roman"/>
      <family val="1"/>
      <charset val="1"/>
    </font>
    <font>
      <sz val="10"/>
      <color rgb="FF0000FA"/>
      <name val="Times New Roman"/>
      <family val="1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0000FF"/>
      <name val="Times New Roman"/>
      <family val="1"/>
      <charset val="1"/>
    </font>
    <font>
      <i val="true"/>
      <sz val="10"/>
      <color theme="1"/>
      <name val="Times New Roman"/>
      <family val="1"/>
      <charset val="1"/>
    </font>
    <font>
      <u val="single"/>
      <sz val="10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0"/>
      <color theme="6"/>
      <name val="Times New Roman"/>
      <family val="1"/>
      <charset val="1"/>
    </font>
    <font>
      <b val="true"/>
      <u val="single"/>
      <sz val="10"/>
      <name val="Times New Roman"/>
      <family val="1"/>
      <charset val="1"/>
    </font>
    <font>
      <b val="true"/>
      <u val="single"/>
      <sz val="10"/>
      <color rgb="FF0000FA"/>
      <name val="Times New Roman"/>
      <family val="1"/>
      <charset val="1"/>
    </font>
    <font>
      <b val="true"/>
      <i val="true"/>
      <sz val="10"/>
      <color theme="1"/>
      <name val="Times New Roman"/>
      <family val="1"/>
      <charset val="1"/>
    </font>
    <font>
      <sz val="10"/>
      <name val="Arial"/>
      <family val="2"/>
    </font>
    <font>
      <b val="true"/>
      <sz val="10"/>
      <color rgb="FF0000FA"/>
      <name val="Times New Roman"/>
      <family val="1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0"/>
      <color rgb="FF0000FA"/>
      <name val="Times New Roman"/>
      <family val="1"/>
      <charset val="1"/>
    </font>
    <font>
      <b val="true"/>
      <sz val="11"/>
      <name val="Times New Roman"/>
      <family val="1"/>
      <charset val="1"/>
    </font>
    <font>
      <sz val="11"/>
      <color rgb="FF008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 style="dashed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/>
      <top style="thin"/>
      <bottom/>
      <diagonal/>
    </border>
    <border diagonalUp="false" diagonalDown="false">
      <left style="dashed"/>
      <right/>
      <top/>
      <bottom/>
      <diagonal/>
    </border>
    <border diagonalUp="false" diagonalDown="false">
      <left/>
      <right style="dashed"/>
      <top style="thin"/>
      <bottom/>
      <diagonal/>
    </border>
    <border diagonalUp="false" diagonalDown="false">
      <left style="dashed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4" fillId="2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4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2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8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2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2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7" fontId="12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5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5" fontId="4" fillId="2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5" fontId="12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12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5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5" fontId="12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7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6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96B24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A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K12"/>
  <sheetViews>
    <sheetView showFormulas="false" showGridLines="false" showRowColHeaders="true" showZeros="true" rightToLeft="false" tabSelected="true" showOutlineSymbols="true" defaultGridColor="true" view="pageBreakPreview" topLeftCell="A1" colorId="64" zoomScale="108" zoomScaleNormal="71" zoomScalePageLayoutView="108" workbookViewId="0">
      <selection pane="topLeft" activeCell="B4" activeCellId="0" sqref="B4"/>
    </sheetView>
  </sheetViews>
  <sheetFormatPr defaultColWidth="9.00390625" defaultRowHeight="12.75" customHeight="true" zeroHeight="false" outlineLevelRow="0" outlineLevelCol="0"/>
  <cols>
    <col collapsed="false" customWidth="false" hidden="false" outlineLevel="0" max="1" min="1" style="1" width="9"/>
    <col collapsed="false" customWidth="true" hidden="false" outlineLevel="0" max="8" min="2" style="1" width="15.67"/>
    <col collapsed="false" customWidth="true" hidden="false" outlineLevel="0" max="11" min="9" style="1" width="13.66"/>
    <col collapsed="false" customWidth="false" hidden="false" outlineLevel="0" max="16384" min="12" style="1" width="9"/>
  </cols>
  <sheetData>
    <row r="3" customFormat="false" ht="15.75" hidden="false" customHeight="true" outlineLevel="0" collapsed="false">
      <c r="C3" s="2" t="s">
        <v>0</v>
      </c>
      <c r="D3" s="2"/>
      <c r="E3" s="2"/>
      <c r="F3" s="2"/>
      <c r="G3" s="3" t="s">
        <v>1</v>
      </c>
      <c r="H3" s="3"/>
      <c r="I3" s="3"/>
      <c r="J3" s="3"/>
      <c r="K3" s="3"/>
    </row>
    <row r="4" customFormat="false" ht="4.5" hidden="false" customHeight="true" outlineLevel="0" collapsed="false">
      <c r="C4" s="4"/>
      <c r="D4" s="4"/>
      <c r="E4" s="4"/>
      <c r="F4" s="2"/>
      <c r="G4" s="4"/>
      <c r="H4" s="5"/>
      <c r="I4" s="5"/>
      <c r="J4" s="5"/>
      <c r="K4" s="5"/>
    </row>
    <row r="5" customFormat="false" ht="15.75" hidden="false" customHeight="true" outlineLevel="0" collapsed="false">
      <c r="B5" s="4" t="s">
        <v>2</v>
      </c>
      <c r="C5" s="4" t="s">
        <v>3</v>
      </c>
      <c r="D5" s="4" t="s">
        <v>4</v>
      </c>
      <c r="E5" s="4" t="s">
        <v>5</v>
      </c>
      <c r="F5" s="2" t="s">
        <v>6</v>
      </c>
      <c r="G5" s="4" t="s">
        <v>7</v>
      </c>
      <c r="H5" s="4" t="s">
        <v>8</v>
      </c>
      <c r="I5" s="4" t="s">
        <v>4</v>
      </c>
      <c r="J5" s="6" t="s">
        <v>9</v>
      </c>
      <c r="K5" s="7" t="s">
        <v>10</v>
      </c>
    </row>
    <row r="6" customFormat="false" ht="19.5" hidden="false" customHeight="true" outlineLevel="0" collapsed="false">
      <c r="B6" s="8" t="s">
        <v>11</v>
      </c>
      <c r="C6" s="9" t="n">
        <v>45917</v>
      </c>
      <c r="D6" s="10" t="n">
        <v>166</v>
      </c>
      <c r="E6" s="11" t="n">
        <f aca="false">BABA!C29</f>
        <v>12.8156451946918</v>
      </c>
      <c r="F6" s="12" t="n">
        <f aca="false">BABA!C30</f>
        <v>11.0647495048996</v>
      </c>
      <c r="G6" s="9" t="n">
        <v>47848</v>
      </c>
      <c r="H6" s="13" t="n">
        <v>15</v>
      </c>
      <c r="I6" s="14" t="n">
        <f aca="false">BABA!C42</f>
        <v>413.12503734799</v>
      </c>
      <c r="J6" s="15" t="n">
        <f aca="false">BABA!C48</f>
        <v>0.188084651542477</v>
      </c>
      <c r="K6" s="16" t="n">
        <f aca="false">BABA!C47</f>
        <v>2.488705044265</v>
      </c>
    </row>
    <row r="7" customFormat="false" ht="19.5" hidden="false" customHeight="true" outlineLevel="0" collapsed="false">
      <c r="B7" s="17" t="s">
        <v>12</v>
      </c>
      <c r="C7" s="18" t="n">
        <f aca="false">C9</f>
        <v>45917</v>
      </c>
      <c r="D7" s="19" t="n">
        <v>234.05</v>
      </c>
      <c r="E7" s="20" t="n">
        <f aca="false">AMZN!F8</f>
        <v>15.4065672234046</v>
      </c>
      <c r="F7" s="21" t="n">
        <f aca="false">AMZN!F9</f>
        <v>12.8820622257077</v>
      </c>
      <c r="G7" s="22" t="n">
        <v>47848</v>
      </c>
      <c r="H7" s="23" t="n">
        <v>15</v>
      </c>
      <c r="I7" s="24" t="n">
        <f aca="false">AMZN!F19</f>
        <v>605.835164789651</v>
      </c>
      <c r="J7" s="25" t="n">
        <f aca="false">AMZN!F24</f>
        <v>0.196945654291749</v>
      </c>
      <c r="K7" s="26" t="n">
        <f aca="false">AMZN!F23</f>
        <v>2.58848607045354</v>
      </c>
    </row>
    <row r="8" customFormat="false" ht="19.5" hidden="false" customHeight="true" outlineLevel="0" collapsed="false">
      <c r="B8" s="8" t="s">
        <v>13</v>
      </c>
      <c r="C8" s="27" t="n">
        <v>46113</v>
      </c>
      <c r="D8" s="10" t="n">
        <v>42.56</v>
      </c>
      <c r="E8" s="11" t="n">
        <f aca="false">FOUR!F8</f>
        <v>8.31268041237114</v>
      </c>
      <c r="F8" s="12" t="n">
        <f aca="false">FOUR!F9</f>
        <v>6.77588235294118</v>
      </c>
      <c r="G8" s="9" t="n">
        <v>47848</v>
      </c>
      <c r="H8" s="13" t="n">
        <v>10</v>
      </c>
      <c r="I8" s="14" t="n">
        <f aca="false">FOUR!F19</f>
        <v>284.075530612245</v>
      </c>
      <c r="J8" s="15" t="n">
        <f aca="false">FOUR!F24</f>
        <v>0.490869494912539</v>
      </c>
      <c r="K8" s="16" t="n">
        <f aca="false">FOUR!F23</f>
        <v>6.67470701626515</v>
      </c>
    </row>
    <row r="9" customFormat="false" ht="19.5" hidden="false" customHeight="true" outlineLevel="0" collapsed="false">
      <c r="B9" s="17" t="s">
        <v>14</v>
      </c>
      <c r="C9" s="18" t="n">
        <f aca="false">C6</f>
        <v>45917</v>
      </c>
      <c r="D9" s="19" t="n">
        <v>18</v>
      </c>
      <c r="E9" s="20" t="n">
        <f aca="false">WBD!C8</f>
        <v>8.98694414790766</v>
      </c>
      <c r="F9" s="21" t="n">
        <f aca="false">WBD!C9</f>
        <v>8.7111679251551</v>
      </c>
      <c r="G9" s="22" t="n">
        <v>47848</v>
      </c>
      <c r="H9" s="23" t="n">
        <v>10</v>
      </c>
      <c r="I9" s="24" t="n">
        <f aca="false">WBD!C18</f>
        <v>36.5132679119641</v>
      </c>
      <c r="J9" s="25" t="n">
        <f aca="false">WBD!C23</f>
        <v>0.143044666909638</v>
      </c>
      <c r="K9" s="26" t="n">
        <f aca="false">WBD!C22</f>
        <v>2.028514883998</v>
      </c>
    </row>
    <row r="10" customFormat="false" ht="19.5" hidden="false" customHeight="true" outlineLevel="0" collapsed="false">
      <c r="B10" s="8" t="s">
        <v>15</v>
      </c>
      <c r="C10" s="27" t="n">
        <f aca="false">C8</f>
        <v>46113</v>
      </c>
      <c r="D10" s="10" t="n">
        <v>8.41</v>
      </c>
      <c r="E10" s="11" t="n">
        <f aca="false">XPOF!F8</f>
        <v>6.22640707070708</v>
      </c>
      <c r="F10" s="12" t="n">
        <f aca="false">XPOF!F9</f>
        <v>5.78663723882685</v>
      </c>
      <c r="G10" s="9" t="n">
        <v>47848</v>
      </c>
      <c r="H10" s="13" t="n">
        <v>8</v>
      </c>
      <c r="I10" s="14" t="n">
        <f aca="false">XPOF!F19</f>
        <v>30.2973909594599</v>
      </c>
      <c r="J10" s="15" t="n">
        <f aca="false">XPOF!F24</f>
        <v>0.309472756463339</v>
      </c>
      <c r="K10" s="16" t="n">
        <f aca="false">XPOF!F23</f>
        <v>3.60254351479903</v>
      </c>
    </row>
    <row r="11" customFormat="false" ht="19.5" hidden="false" customHeight="true" outlineLevel="0" collapsed="false">
      <c r="B11" s="28" t="s">
        <v>16</v>
      </c>
      <c r="C11" s="29" t="n">
        <f aca="false">ST!A2</f>
        <v>46113</v>
      </c>
      <c r="D11" s="30" t="n">
        <f aca="false">ST!F3</f>
        <v>32.45</v>
      </c>
      <c r="E11" s="31" t="n">
        <f aca="false">ST!F9</f>
        <v>8.37206561759809</v>
      </c>
      <c r="F11" s="31" t="n">
        <f aca="false">ST!F10</f>
        <v>8.00612805561785</v>
      </c>
      <c r="G11" s="32" t="n">
        <f aca="false">ST!A12</f>
        <v>47848</v>
      </c>
      <c r="H11" s="33" t="n">
        <f aca="false">ST!F14</f>
        <v>10</v>
      </c>
      <c r="I11" s="34" t="n">
        <f aca="false">ST!F20</f>
        <v>101.706685744852</v>
      </c>
      <c r="J11" s="35" t="n">
        <f aca="false">ST!F25</f>
        <v>0.271669280109797</v>
      </c>
      <c r="K11" s="36" t="n">
        <f aca="false">ST!F24</f>
        <v>3.13425842048852</v>
      </c>
    </row>
    <row r="12" customFormat="false" ht="13.5" hidden="false" customHeight="true" outlineLevel="0" collapsed="false">
      <c r="B12" s="37" t="s">
        <v>17</v>
      </c>
      <c r="C12" s="38" t="n">
        <f aca="false">C11</f>
        <v>46113</v>
      </c>
      <c r="D12" s="39" t="n">
        <v>131.84</v>
      </c>
      <c r="E12" s="40" t="n">
        <f aca="false">RDDT!F65</f>
        <v>20.7881315440582</v>
      </c>
      <c r="F12" s="40" t="n">
        <f aca="false">RDDT!F66</f>
        <v>13.8103752524168</v>
      </c>
      <c r="G12" s="38" t="n">
        <v>48213</v>
      </c>
      <c r="H12" s="41" t="n">
        <v>18</v>
      </c>
      <c r="I12" s="39" t="n">
        <f aca="false">RDDT!F76</f>
        <v>453.74601698102</v>
      </c>
      <c r="J12" s="42" t="n">
        <f aca="false">RDDT!F82</f>
        <v>0.239511538019544</v>
      </c>
      <c r="K12" s="40" t="n">
        <f aca="false">RDDT!F81</f>
        <v>3.44164151229536</v>
      </c>
    </row>
  </sheetData>
  <mergeCells count="2">
    <mergeCell ref="C3:F3"/>
    <mergeCell ref="G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2"/>
  <sheetViews>
    <sheetView showFormulas="false" showGridLines="false" showRowColHeaders="true" showZeros="true" rightToLeft="false" tabSelected="false" showOutlineSymbols="true" defaultGridColor="true" view="pageBreakPreview" topLeftCell="A1" colorId="64" zoomScale="86" zoomScaleNormal="85" zoomScalePageLayoutView="86" workbookViewId="0">
      <selection pane="topLeft" activeCell="C41" activeCellId="0" sqref="C41"/>
    </sheetView>
  </sheetViews>
  <sheetFormatPr defaultColWidth="9.00390625" defaultRowHeight="12.75" customHeight="true" zeroHeight="false" outlineLevelRow="1" outlineLevelCol="0"/>
  <cols>
    <col collapsed="false" customWidth="true" hidden="false" outlineLevel="0" max="1" min="1" style="1" width="10.67"/>
    <col collapsed="false" customWidth="true" hidden="false" outlineLevel="0" max="2" min="2" style="1" width="27.17"/>
    <col collapsed="false" customWidth="true" hidden="false" outlineLevel="0" max="11" min="3" style="1" width="12.67"/>
    <col collapsed="false" customWidth="false" hidden="false" outlineLevel="0" max="16384" min="12" style="1" width="9"/>
  </cols>
  <sheetData>
    <row r="1" customFormat="false" ht="12.75" hidden="false" customHeight="true" outlineLevel="0" collapsed="false">
      <c r="B1" s="1" t="s">
        <v>18</v>
      </c>
      <c r="C1" s="1" t="n">
        <v>0.14</v>
      </c>
    </row>
    <row r="2" customFormat="false" ht="15.75" hidden="true" customHeight="true" outlineLevel="1" collapsed="false">
      <c r="B2" s="43" t="s">
        <v>19</v>
      </c>
      <c r="C2" s="44" t="s">
        <v>20</v>
      </c>
      <c r="D2" s="44" t="s">
        <v>21</v>
      </c>
      <c r="E2" s="44" t="s">
        <v>22</v>
      </c>
      <c r="F2" s="44" t="s">
        <v>23</v>
      </c>
    </row>
    <row r="3" customFormat="false" ht="12.75" hidden="true" customHeight="true" outlineLevel="1" collapsed="false">
      <c r="B3" s="45" t="s">
        <v>24</v>
      </c>
    </row>
    <row r="4" customFormat="false" ht="12.75" hidden="true" customHeight="true" outlineLevel="1" collapsed="false">
      <c r="B4" s="1" t="s">
        <v>25</v>
      </c>
      <c r="C4" s="46" t="n">
        <v>591.58</v>
      </c>
      <c r="D4" s="46" t="n">
        <v>582.731</v>
      </c>
      <c r="E4" s="46" t="n">
        <v>434.893</v>
      </c>
      <c r="F4" s="46" t="n">
        <v>449.827</v>
      </c>
    </row>
    <row r="5" customFormat="false" ht="12.75" hidden="true" customHeight="true" outlineLevel="1" collapsed="false">
      <c r="B5" s="1" t="s">
        <v>26</v>
      </c>
      <c r="C5" s="46" t="n">
        <v>74.568</v>
      </c>
      <c r="D5" s="46" t="n">
        <v>77.203</v>
      </c>
      <c r="E5" s="46" t="n">
        <v>106.374</v>
      </c>
      <c r="F5" s="46" t="n">
        <v>118.028</v>
      </c>
    </row>
    <row r="6" customFormat="false" ht="12.75" hidden="true" customHeight="true" outlineLevel="1" collapsed="false">
      <c r="B6" s="1" t="s">
        <v>27</v>
      </c>
      <c r="C6" s="46" t="n">
        <v>61.078</v>
      </c>
      <c r="D6" s="46" t="n">
        <v>69.204</v>
      </c>
      <c r="E6" s="46" t="n">
        <v>102.598</v>
      </c>
      <c r="F6" s="46" t="n">
        <v>132.3</v>
      </c>
    </row>
    <row r="7" customFormat="false" ht="12.75" hidden="true" customHeight="true" outlineLevel="1" collapsed="false">
      <c r="B7" s="1" t="s">
        <v>28</v>
      </c>
      <c r="C7" s="46" t="n">
        <v>46.107</v>
      </c>
      <c r="D7" s="46" t="n">
        <v>55.681</v>
      </c>
      <c r="E7" s="46" t="n">
        <v>99.02</v>
      </c>
      <c r="F7" s="46" t="n">
        <v>101.272</v>
      </c>
    </row>
    <row r="8" customFormat="false" ht="12.75" hidden="true" customHeight="true" outlineLevel="1" collapsed="false">
      <c r="B8" s="1" t="s">
        <v>29</v>
      </c>
      <c r="C8" s="46" t="n">
        <v>44.616</v>
      </c>
      <c r="D8" s="46" t="n">
        <v>50.112</v>
      </c>
      <c r="E8" s="46" t="n">
        <v>59.802</v>
      </c>
      <c r="F8" s="46" t="n">
        <v>67.076</v>
      </c>
    </row>
    <row r="9" customFormat="false" ht="12.75" hidden="true" customHeight="true" outlineLevel="1" collapsed="false">
      <c r="B9" s="1" t="s">
        <v>30</v>
      </c>
      <c r="C9" s="46" t="n">
        <f aca="false">C10-SUM(C4:C8)</f>
        <v>35.1129999999999</v>
      </c>
      <c r="D9" s="46" t="n">
        <f aca="false">D10-SUM(D4:D8)</f>
        <v>33.756</v>
      </c>
      <c r="E9" s="46" t="n">
        <f aca="false">E10-SUM(E4:E8)</f>
        <v>138.481</v>
      </c>
      <c r="F9" s="46" t="n">
        <f aca="false">F10-SUM(F4:F8)</f>
        <v>127.844</v>
      </c>
    </row>
    <row r="10" customFormat="false" ht="12.75" hidden="true" customHeight="true" outlineLevel="1" collapsed="false">
      <c r="B10" s="47" t="s">
        <v>31</v>
      </c>
      <c r="C10" s="48" t="n">
        <v>853.062</v>
      </c>
      <c r="D10" s="48" t="n">
        <v>868.687</v>
      </c>
      <c r="E10" s="48" t="n">
        <v>941.168</v>
      </c>
      <c r="F10" s="48" t="n">
        <v>996.347</v>
      </c>
    </row>
    <row r="11" customFormat="false" ht="12.75" hidden="true" customHeight="true" outlineLevel="1" collapsed="false">
      <c r="C11" s="46"/>
      <c r="D11" s="46"/>
      <c r="E11" s="46"/>
      <c r="F11" s="46"/>
    </row>
    <row r="12" customFormat="false" ht="12.75" hidden="true" customHeight="true" outlineLevel="1" collapsed="false">
      <c r="B12" s="45" t="s">
        <v>32</v>
      </c>
      <c r="C12" s="46"/>
      <c r="D12" s="46"/>
      <c r="E12" s="46"/>
      <c r="F12" s="46"/>
    </row>
    <row r="13" customFormat="false" ht="12.75" hidden="true" customHeight="true" outlineLevel="1" collapsed="false">
      <c r="B13" s="1" t="s">
        <v>25</v>
      </c>
      <c r="C13" s="46" t="n">
        <v>182.431</v>
      </c>
      <c r="D13" s="46" t="n">
        <v>184.862</v>
      </c>
      <c r="E13" s="46" t="n">
        <v>194.827</v>
      </c>
      <c r="F13" s="46" t="n">
        <v>196.232</v>
      </c>
    </row>
    <row r="14" customFormat="false" ht="12.75" hidden="true" customHeight="true" outlineLevel="1" collapsed="false">
      <c r="B14" s="1" t="s">
        <v>26</v>
      </c>
      <c r="C14" s="46" t="n">
        <v>1.146</v>
      </c>
      <c r="D14" s="46" t="n">
        <v>1.422</v>
      </c>
      <c r="E14" s="46" t="n">
        <v>6.121</v>
      </c>
      <c r="F14" s="46" t="n">
        <v>10.556</v>
      </c>
    </row>
    <row r="15" customFormat="false" ht="12.75" hidden="true" customHeight="true" outlineLevel="1" collapsed="false">
      <c r="B15" s="1" t="s">
        <v>27</v>
      </c>
      <c r="C15" s="46" t="n">
        <v>-8.991</v>
      </c>
      <c r="D15" s="46" t="n">
        <v>-5.62</v>
      </c>
      <c r="E15" s="46" t="n">
        <v>-8.035</v>
      </c>
      <c r="F15" s="46" t="n">
        <v>-15.137</v>
      </c>
    </row>
    <row r="16" customFormat="false" ht="12.75" hidden="true" customHeight="true" outlineLevel="1" collapsed="false">
      <c r="B16" s="1" t="s">
        <v>28</v>
      </c>
      <c r="C16" s="46" t="n">
        <v>-1.465</v>
      </c>
      <c r="D16" s="46" t="n">
        <v>-0.391</v>
      </c>
      <c r="E16" s="46" t="n">
        <v>1.402</v>
      </c>
      <c r="F16" s="46" t="n">
        <v>0.302</v>
      </c>
    </row>
    <row r="17" customFormat="false" ht="12.75" hidden="true" customHeight="true" outlineLevel="1" collapsed="false">
      <c r="B17" s="1" t="s">
        <v>29</v>
      </c>
      <c r="C17" s="46" t="n">
        <v>-22.092</v>
      </c>
      <c r="D17" s="46" t="n">
        <v>-14.021</v>
      </c>
      <c r="E17" s="46" t="n">
        <v>-9.812</v>
      </c>
      <c r="F17" s="46" t="n">
        <v>-3.689</v>
      </c>
    </row>
    <row r="18" customFormat="false" ht="12.75" hidden="true" customHeight="true" outlineLevel="1" collapsed="false">
      <c r="B18" s="1" t="s">
        <v>30</v>
      </c>
      <c r="C18" s="46" t="e">
        <f aca="false">C19-SUM(C13:C17)</f>
        <v>#VALUE!</v>
      </c>
      <c r="D18" s="46" t="n">
        <f aca="false">D19-SUM(D13:D17)</f>
        <v>-18.341</v>
      </c>
      <c r="E18" s="46" t="n">
        <f aca="false">E19-SUM(E13:E17)</f>
        <v>-19.475</v>
      </c>
      <c r="F18" s="46" t="n">
        <f aca="false">F19-SUM(F13:F17)</f>
        <v>-15.199</v>
      </c>
    </row>
    <row r="19" customFormat="false" ht="12.75" hidden="true" customHeight="true" outlineLevel="1" collapsed="false">
      <c r="B19" s="47" t="s">
        <v>31</v>
      </c>
      <c r="C19" s="48" t="e">
        <f aca="false">SUM(C13:C18)</f>
        <v>#VALUE!</v>
      </c>
      <c r="D19" s="48" t="n">
        <v>147.911</v>
      </c>
      <c r="E19" s="48" t="n">
        <v>165.028</v>
      </c>
      <c r="F19" s="48" t="n">
        <v>173.065</v>
      </c>
    </row>
    <row r="21" customFormat="false" ht="15.75" hidden="false" customHeight="true" outlineLevel="0" collapsed="false">
      <c r="A21" s="49" t="n">
        <f aca="false">Summary!C6</f>
        <v>45917</v>
      </c>
      <c r="B21" s="3" t="s">
        <v>33</v>
      </c>
      <c r="C21" s="3"/>
    </row>
    <row r="22" customFormat="false" ht="12.75" hidden="false" customHeight="true" outlineLevel="0" collapsed="false">
      <c r="B22" s="1" t="s">
        <v>34</v>
      </c>
      <c r="C22" s="50" t="n">
        <f aca="false">Summary!D6</f>
        <v>166</v>
      </c>
    </row>
    <row r="23" customFormat="false" ht="12.75" hidden="false" customHeight="true" outlineLevel="0" collapsed="false">
      <c r="B23" s="1" t="s">
        <v>35</v>
      </c>
      <c r="C23" s="46" t="n">
        <v>2270.64673471231</v>
      </c>
    </row>
    <row r="24" customFormat="false" ht="12.75" hidden="false" customHeight="true" outlineLevel="0" collapsed="false">
      <c r="B24" s="47" t="s">
        <v>36</v>
      </c>
      <c r="C24" s="48" t="n">
        <f aca="false">C22*C23</f>
        <v>376927.357962243</v>
      </c>
    </row>
    <row r="25" customFormat="false" ht="12.75" hidden="false" customHeight="true" outlineLevel="0" collapsed="false">
      <c r="B25" s="1" t="s">
        <v>37</v>
      </c>
      <c r="C25" s="46" t="n">
        <v>34625.2</v>
      </c>
    </row>
    <row r="26" customFormat="false" ht="12.75" hidden="false" customHeight="true" outlineLevel="0" collapsed="false">
      <c r="B26" s="1" t="s">
        <v>38</v>
      </c>
      <c r="C26" s="46" t="n">
        <v>-59742</v>
      </c>
    </row>
    <row r="27" customFormat="false" ht="12.75" hidden="false" customHeight="true" outlineLevel="0" collapsed="false">
      <c r="B27" s="1" t="s">
        <v>39</v>
      </c>
      <c r="C27" s="46" t="n">
        <v>11199</v>
      </c>
    </row>
    <row r="28" customFormat="false" ht="12.75" hidden="false" customHeight="true" outlineLevel="0" collapsed="false">
      <c r="B28" s="47" t="s">
        <v>40</v>
      </c>
      <c r="C28" s="48" t="n">
        <f aca="false">SUM(C24:C27)</f>
        <v>363009.557962243</v>
      </c>
    </row>
    <row r="29" customFormat="false" ht="15" hidden="false" customHeight="true" outlineLevel="0" collapsed="false">
      <c r="B29" s="43" t="s">
        <v>5</v>
      </c>
      <c r="C29" s="51" t="n">
        <f aca="false">C28/(F86*1000)</f>
        <v>12.8156451946918</v>
      </c>
    </row>
    <row r="30" customFormat="false" ht="15" hidden="false" customHeight="true" outlineLevel="0" collapsed="false">
      <c r="B30" s="43" t="s">
        <v>6</v>
      </c>
      <c r="C30" s="51" t="n">
        <f aca="false">C28/(G86*1000)</f>
        <v>11.0647495048996</v>
      </c>
    </row>
    <row r="31" customFormat="false" ht="12.75" hidden="false" customHeight="true" outlineLevel="0" collapsed="false">
      <c r="B31" s="47"/>
      <c r="C31" s="52"/>
    </row>
    <row r="32" customFormat="false" ht="15.75" hidden="false" customHeight="true" outlineLevel="0" collapsed="false">
      <c r="A32" s="49" t="n">
        <f aca="false">Summary!G6</f>
        <v>47848</v>
      </c>
      <c r="B32" s="3" t="s">
        <v>1</v>
      </c>
      <c r="C32" s="3"/>
    </row>
    <row r="33" customFormat="false" ht="12.75" hidden="false" customHeight="true" outlineLevel="0" collapsed="false">
      <c r="B33" s="1" t="s">
        <v>41</v>
      </c>
      <c r="C33" s="46" t="n">
        <f aca="false">K86*1000</f>
        <v>52900.0661603756</v>
      </c>
    </row>
    <row r="34" customFormat="false" ht="12.75" hidden="false" customHeight="true" outlineLevel="0" collapsed="false">
      <c r="B34" s="1" t="s">
        <v>42</v>
      </c>
      <c r="C34" s="53" t="n">
        <f aca="false">Summary!H6</f>
        <v>15</v>
      </c>
    </row>
    <row r="35" customFormat="false" ht="12.75" hidden="false" customHeight="true" outlineLevel="0" collapsed="false">
      <c r="B35" s="47" t="s">
        <v>40</v>
      </c>
      <c r="C35" s="48" t="n">
        <f aca="false">C33*C34</f>
        <v>793500.992405635</v>
      </c>
    </row>
    <row r="36" customFormat="false" ht="12.75" hidden="false" customHeight="true" outlineLevel="0" collapsed="false">
      <c r="B36" s="1" t="s">
        <v>43</v>
      </c>
      <c r="C36" s="46" t="n">
        <f aca="false">-C25</f>
        <v>-34625.2</v>
      </c>
    </row>
    <row r="37" customFormat="false" ht="12.75" hidden="false" customHeight="true" outlineLevel="0" collapsed="false">
      <c r="B37" s="1" t="s">
        <v>44</v>
      </c>
      <c r="C37" s="46" t="n">
        <f aca="false">-C26</f>
        <v>59742</v>
      </c>
    </row>
    <row r="38" customFormat="false" ht="12.75" hidden="false" customHeight="true" outlineLevel="0" collapsed="false">
      <c r="B38" s="1" t="s">
        <v>45</v>
      </c>
      <c r="C38" s="46" t="n">
        <f aca="false">-C27</f>
        <v>-11199</v>
      </c>
    </row>
    <row r="39" customFormat="false" ht="12.75" hidden="false" customHeight="true" outlineLevel="0" collapsed="false">
      <c r="B39" s="1" t="s">
        <v>46</v>
      </c>
      <c r="C39" s="46" t="n">
        <f aca="false">C57</f>
        <v>130642.22467648</v>
      </c>
    </row>
    <row r="40" customFormat="false" ht="12.75" hidden="false" customHeight="true" outlineLevel="0" collapsed="false">
      <c r="B40" s="47" t="s">
        <v>36</v>
      </c>
      <c r="C40" s="48" t="n">
        <f aca="false">SUM(C35:C39)</f>
        <v>938061.017082114</v>
      </c>
    </row>
    <row r="41" customFormat="false" ht="12.75" hidden="false" customHeight="true" outlineLevel="0" collapsed="false">
      <c r="B41" s="1" t="s">
        <v>47</v>
      </c>
      <c r="C41" s="46" t="n">
        <f aca="false">C23</f>
        <v>2270.64673471231</v>
      </c>
    </row>
    <row r="42" customFormat="false" ht="12.75" hidden="false" customHeight="true" outlineLevel="0" collapsed="false">
      <c r="A42" s="54" t="n">
        <f aca="false">A32</f>
        <v>47848</v>
      </c>
      <c r="B42" s="47" t="s">
        <v>48</v>
      </c>
      <c r="C42" s="55" t="n">
        <f aca="false">C40/C41</f>
        <v>413.12503734799</v>
      </c>
    </row>
    <row r="43" customFormat="false" ht="12.75" hidden="false" customHeight="true" outlineLevel="0" collapsed="false">
      <c r="A43" s="54" t="n">
        <f aca="false">A21</f>
        <v>45917</v>
      </c>
      <c r="B43" s="1" t="s">
        <v>34</v>
      </c>
      <c r="C43" s="56" t="n">
        <f aca="false">C22</f>
        <v>166</v>
      </c>
    </row>
    <row r="44" customFormat="false" ht="12.75" hidden="false" customHeight="true" outlineLevel="0" collapsed="false">
      <c r="A44" s="54"/>
      <c r="C44" s="56"/>
    </row>
    <row r="45" customFormat="false" ht="12.75" hidden="false" customHeight="true" outlineLevel="0" collapsed="false">
      <c r="A45" s="54"/>
      <c r="B45" s="45" t="s">
        <v>49</v>
      </c>
      <c r="C45" s="56"/>
    </row>
    <row r="46" customFormat="false" ht="12.75" hidden="false" customHeight="true" outlineLevel="0" collapsed="false">
      <c r="B46" s="1" t="s">
        <v>50</v>
      </c>
      <c r="C46" s="57" t="n">
        <f aca="false">C42/C43-1</f>
        <v>1.488705044265</v>
      </c>
    </row>
    <row r="47" customFormat="false" ht="12.75" hidden="false" customHeight="true" outlineLevel="0" collapsed="false">
      <c r="B47" s="1" t="s">
        <v>10</v>
      </c>
      <c r="C47" s="58" t="n">
        <f aca="false">C42/C43</f>
        <v>2.488705044265</v>
      </c>
    </row>
    <row r="48" customFormat="false" ht="12.75" hidden="false" customHeight="true" outlineLevel="0" collapsed="false">
      <c r="A48" s="59" t="n">
        <f aca="false">(A42-A43)/365</f>
        <v>5.29041095890411</v>
      </c>
      <c r="B48" s="47" t="s">
        <v>9</v>
      </c>
      <c r="C48" s="60" t="n">
        <f aca="false">C47^(1/A48)-1</f>
        <v>0.188084651542477</v>
      </c>
    </row>
    <row r="49" customFormat="false" ht="12.75" hidden="false" customHeight="true" outlineLevel="0" collapsed="false">
      <c r="B49" s="47"/>
      <c r="C49" s="61"/>
    </row>
    <row r="50" customFormat="false" ht="12.75" hidden="false" customHeight="true" outlineLevel="0" collapsed="false">
      <c r="B50" s="45" t="s">
        <v>51</v>
      </c>
      <c r="C50" s="52"/>
    </row>
    <row r="51" customFormat="false" ht="12.75" hidden="false" customHeight="true" outlineLevel="0" collapsed="false">
      <c r="B51" s="1" t="s">
        <v>52</v>
      </c>
      <c r="C51" s="46" t="n">
        <f aca="false">SUM(G76:K76)*1000</f>
        <v>855966.063185581</v>
      </c>
    </row>
    <row r="52" customFormat="false" ht="12.75" hidden="false" customHeight="true" outlineLevel="0" collapsed="false">
      <c r="B52" s="1" t="s">
        <v>53</v>
      </c>
      <c r="C52" s="46" t="n">
        <f aca="false">SUM(G85:K85)*1000</f>
        <v>25137.3939087588</v>
      </c>
    </row>
    <row r="53" customFormat="false" ht="12.75" hidden="false" customHeight="true" outlineLevel="0" collapsed="false">
      <c r="B53" s="1" t="s">
        <v>54</v>
      </c>
      <c r="C53" s="46" t="n">
        <f aca="false">SUM(G86:K86)*1000</f>
        <v>210516.311317509</v>
      </c>
    </row>
    <row r="54" customFormat="false" ht="12.75" hidden="false" customHeight="true" outlineLevel="0" collapsed="false">
      <c r="B54" s="1" t="s">
        <v>55</v>
      </c>
      <c r="C54" s="46" t="n">
        <v>0</v>
      </c>
    </row>
    <row r="55" customFormat="false" ht="12.75" hidden="false" customHeight="true" outlineLevel="0" collapsed="false">
      <c r="A55" s="62" t="n">
        <v>0.2</v>
      </c>
      <c r="B55" s="1" t="s">
        <v>56</v>
      </c>
      <c r="C55" s="46" t="n">
        <f aca="false">-(C53-C52+C54)*A55</f>
        <v>-37075.78348175</v>
      </c>
    </row>
    <row r="56" customFormat="false" ht="12.75" hidden="false" customHeight="true" outlineLevel="0" collapsed="false">
      <c r="A56" s="62" t="n">
        <v>0.05</v>
      </c>
      <c r="B56" s="1" t="s">
        <v>57</v>
      </c>
      <c r="C56" s="46" t="n">
        <f aca="false">-C51*A56</f>
        <v>-42798.3031592791</v>
      </c>
    </row>
    <row r="57" customFormat="false" ht="12.75" hidden="false" customHeight="true" outlineLevel="0" collapsed="false">
      <c r="A57" s="62"/>
      <c r="B57" s="47" t="s">
        <v>58</v>
      </c>
      <c r="C57" s="48" t="n">
        <f aca="false">SUM(C53:C56)</f>
        <v>130642.22467648</v>
      </c>
    </row>
    <row r="58" customFormat="false" ht="15.75" hidden="false" customHeight="true" outlineLevel="0" collapsed="false">
      <c r="B58" s="47"/>
      <c r="C58" s="52"/>
      <c r="F58" s="4" t="str">
        <f aca="false">F68</f>
        <v>FY2025A</v>
      </c>
      <c r="G58" s="4" t="str">
        <f aca="false">G68</f>
        <v>FY2026E</v>
      </c>
      <c r="H58" s="4" t="str">
        <f aca="false">H68</f>
        <v>FY2027E</v>
      </c>
      <c r="I58" s="4" t="str">
        <f aca="false">I68</f>
        <v>FY2028E</v>
      </c>
      <c r="J58" s="4" t="str">
        <f aca="false">J68</f>
        <v>FY2029E</v>
      </c>
      <c r="K58" s="4" t="str">
        <f aca="false">K68</f>
        <v>FY2030E</v>
      </c>
    </row>
    <row r="59" customFormat="false" ht="12.75" hidden="false" customHeight="true" outlineLevel="0" collapsed="false">
      <c r="B59" s="47" t="s">
        <v>59</v>
      </c>
      <c r="C59" s="47"/>
      <c r="D59" s="47"/>
      <c r="E59" s="47"/>
      <c r="F59" s="63" t="n">
        <f aca="false">$C$28/(F86*1000)</f>
        <v>12.8156451946918</v>
      </c>
      <c r="G59" s="63" t="n">
        <f aca="false">$C$28/(G86*1000)</f>
        <v>11.0647495048996</v>
      </c>
      <c r="H59" s="63" t="n">
        <f aca="false">$C$28/(H86*1000)</f>
        <v>9.74352845389961</v>
      </c>
      <c r="I59" s="63" t="n">
        <f aca="false">$C$28/(I86*1000)</f>
        <v>8.80171872843115</v>
      </c>
      <c r="J59" s="63" t="n">
        <f aca="false">$C$28/(J86*1000)</f>
        <v>7.83885822578028</v>
      </c>
      <c r="K59" s="63" t="n">
        <f aca="false">$C$28/(K86*1000)</f>
        <v>6.86217587822514</v>
      </c>
    </row>
    <row r="61" customFormat="false" ht="12.75" hidden="false" customHeight="true" outlineLevel="0" collapsed="false">
      <c r="B61" s="1" t="s">
        <v>60</v>
      </c>
      <c r="D61" s="64" t="n">
        <f aca="false">E61-2</f>
        <v>6</v>
      </c>
      <c r="E61" s="64" t="n">
        <f aca="false">F61-2</f>
        <v>8</v>
      </c>
      <c r="F61" s="64" t="n">
        <f aca="false">G61-2</f>
        <v>10</v>
      </c>
      <c r="G61" s="65" t="n">
        <v>12</v>
      </c>
      <c r="H61" s="64" t="n">
        <f aca="false">G61+2</f>
        <v>14</v>
      </c>
      <c r="I61" s="64" t="n">
        <f aca="false">H61+2</f>
        <v>16</v>
      </c>
      <c r="J61" s="64" t="n">
        <f aca="false">I61+2</f>
        <v>18</v>
      </c>
      <c r="K61" s="64" t="n">
        <f aca="false">J61+2</f>
        <v>20</v>
      </c>
    </row>
    <row r="62" customFormat="false" ht="12.75" hidden="false" customHeight="true" outlineLevel="0" collapsed="false">
      <c r="B62" s="1" t="s">
        <v>61</v>
      </c>
      <c r="D62" s="46" t="n">
        <f aca="false">D61*$G$86</f>
        <v>196.846512142818</v>
      </c>
      <c r="E62" s="46" t="n">
        <f aca="false">E61*$G$86</f>
        <v>262.462016190424</v>
      </c>
      <c r="F62" s="46" t="n">
        <f aca="false">F61*$G$86</f>
        <v>328.07752023803</v>
      </c>
      <c r="G62" s="46" t="n">
        <f aca="false">G61*$G$86</f>
        <v>393.693024285635</v>
      </c>
      <c r="H62" s="46" t="n">
        <f aca="false">H61*$G$86</f>
        <v>459.308528333241</v>
      </c>
      <c r="I62" s="46" t="n">
        <f aca="false">I61*$G$86</f>
        <v>524.924032380847</v>
      </c>
      <c r="J62" s="46" t="n">
        <f aca="false">J61*$G$86</f>
        <v>590.539536428453</v>
      </c>
      <c r="K62" s="46" t="n">
        <f aca="false">K61*$G$86</f>
        <v>656.155040476059</v>
      </c>
    </row>
    <row r="63" customFormat="false" ht="12.75" hidden="false" customHeight="true" outlineLevel="0" collapsed="false">
      <c r="B63" s="1" t="s">
        <v>62</v>
      </c>
      <c r="D63" s="46" t="n">
        <f aca="false">-SUM($C$25:$C$27)/1000</f>
        <v>13.9178</v>
      </c>
      <c r="E63" s="46" t="n">
        <f aca="false">-SUM($C$25:$C$27)/1000</f>
        <v>13.9178</v>
      </c>
      <c r="F63" s="46" t="n">
        <f aca="false">-SUM($C$25:$C$27)/1000</f>
        <v>13.9178</v>
      </c>
      <c r="G63" s="46" t="n">
        <f aca="false">-SUM($C$25:$C$27)/1000</f>
        <v>13.9178</v>
      </c>
      <c r="H63" s="46" t="n">
        <f aca="false">-SUM($C$25:$C$27)/1000</f>
        <v>13.9178</v>
      </c>
      <c r="I63" s="46" t="n">
        <f aca="false">-SUM($C$25:$C$27)/1000</f>
        <v>13.9178</v>
      </c>
      <c r="J63" s="46" t="n">
        <f aca="false">-SUM($C$25:$C$27)/1000</f>
        <v>13.9178</v>
      </c>
      <c r="K63" s="46" t="n">
        <f aca="false">-SUM($C$25:$C$27)/1000</f>
        <v>13.9178</v>
      </c>
    </row>
    <row r="64" customFormat="false" ht="12.75" hidden="false" customHeight="true" outlineLevel="0" collapsed="false">
      <c r="B64" s="1" t="s">
        <v>63</v>
      </c>
      <c r="D64" s="46" t="n">
        <f aca="false">SUM(D62:D63)</f>
        <v>210.764312142818</v>
      </c>
      <c r="E64" s="46" t="n">
        <f aca="false">SUM(E62:E63)</f>
        <v>276.379816190424</v>
      </c>
      <c r="F64" s="46" t="n">
        <f aca="false">SUM(F62:F63)</f>
        <v>341.99532023803</v>
      </c>
      <c r="G64" s="46" t="n">
        <f aca="false">SUM(G62:G63)</f>
        <v>407.610824285635</v>
      </c>
      <c r="H64" s="46" t="n">
        <f aca="false">SUM(H62:H63)</f>
        <v>473.226328333241</v>
      </c>
      <c r="I64" s="46" t="n">
        <f aca="false">SUM(I62:I63)</f>
        <v>538.841832380847</v>
      </c>
      <c r="J64" s="46" t="n">
        <f aca="false">SUM(J62:J63)</f>
        <v>604.457336428453</v>
      </c>
      <c r="K64" s="46" t="n">
        <f aca="false">SUM(K62:K63)</f>
        <v>670.072840476059</v>
      </c>
    </row>
    <row r="65" customFormat="false" ht="12.75" hidden="false" customHeight="true" outlineLevel="0" collapsed="false">
      <c r="B65" s="66" t="s">
        <v>48</v>
      </c>
      <c r="C65" s="67"/>
      <c r="D65" s="68" t="n">
        <f aca="false">D64/($C$23/1000)</f>
        <v>92.8212693418034</v>
      </c>
      <c r="E65" s="68" t="n">
        <f aca="false">E64/($C$23/1000)</f>
        <v>121.718544749957</v>
      </c>
      <c r="F65" s="68" t="n">
        <f aca="false">F64/($C$23/1000)</f>
        <v>150.61582015811</v>
      </c>
      <c r="G65" s="68" t="n">
        <f aca="false">G64/($C$23/1000)</f>
        <v>179.513095566264</v>
      </c>
      <c r="H65" s="68" t="n">
        <f aca="false">H64/($C$23/1000)</f>
        <v>208.410370974417</v>
      </c>
      <c r="I65" s="68" t="n">
        <f aca="false">I64/($C$23/1000)</f>
        <v>237.307646382571</v>
      </c>
      <c r="J65" s="68" t="n">
        <f aca="false">J64/($C$23/1000)</f>
        <v>266.204921790724</v>
      </c>
      <c r="K65" s="69" t="n">
        <f aca="false">K64/($C$23/1000)</f>
        <v>295.102197198877</v>
      </c>
    </row>
    <row r="66" s="43" customFormat="true" ht="12.75" hidden="false" customHeight="true" outlineLevel="0" collapsed="false">
      <c r="B66" s="70" t="s">
        <v>64</v>
      </c>
      <c r="C66" s="71"/>
      <c r="D66" s="72" t="n">
        <f aca="false">D65/$C$22-1</f>
        <v>-0.440835726856606</v>
      </c>
      <c r="E66" s="72" t="n">
        <f aca="false">E65/$C$22-1</f>
        <v>-0.266755754518332</v>
      </c>
      <c r="F66" s="72" t="n">
        <f aca="false">F65/$C$22-1</f>
        <v>-0.0926757821800588</v>
      </c>
      <c r="G66" s="72" t="n">
        <f aca="false">G65/$C$22-1</f>
        <v>0.0814041901582148</v>
      </c>
      <c r="H66" s="72" t="n">
        <f aca="false">H65/$C$22-1</f>
        <v>0.255484162496488</v>
      </c>
      <c r="I66" s="72" t="n">
        <f aca="false">I65/$C$22-1</f>
        <v>0.429564134834762</v>
      </c>
      <c r="J66" s="72" t="n">
        <f aca="false">J65/$C$22-1</f>
        <v>0.603644107173036</v>
      </c>
      <c r="K66" s="73" t="n">
        <f aca="false">K65/$C$22-1</f>
        <v>0.777724079511309</v>
      </c>
    </row>
    <row r="68" customFormat="false" ht="15.75" hidden="false" customHeight="true" outlineLevel="0" collapsed="false">
      <c r="B68" s="43" t="s">
        <v>65</v>
      </c>
      <c r="C68" s="4" t="s">
        <v>20</v>
      </c>
      <c r="D68" s="4" t="s">
        <v>21</v>
      </c>
      <c r="E68" s="4" t="s">
        <v>22</v>
      </c>
      <c r="F68" s="4" t="s">
        <v>23</v>
      </c>
      <c r="G68" s="74" t="s">
        <v>66</v>
      </c>
      <c r="H68" s="4" t="s">
        <v>67</v>
      </c>
      <c r="I68" s="4" t="s">
        <v>68</v>
      </c>
      <c r="J68" s="4" t="s">
        <v>69</v>
      </c>
      <c r="K68" s="4" t="s">
        <v>70</v>
      </c>
      <c r="O68" s="43"/>
      <c r="P68" s="4"/>
      <c r="Q68" s="4"/>
      <c r="R68" s="4"/>
      <c r="S68" s="4"/>
    </row>
    <row r="69" customFormat="false" ht="12.75" hidden="false" customHeight="true" outlineLevel="0" collapsed="false">
      <c r="B69" s="45" t="s">
        <v>24</v>
      </c>
      <c r="G69" s="75"/>
    </row>
    <row r="70" customFormat="false" ht="12.75" hidden="false" customHeight="true" outlineLevel="0" collapsed="false">
      <c r="B70" s="76" t="s">
        <v>25</v>
      </c>
      <c r="C70" s="77" t="n">
        <f aca="false">C4*$C$1</f>
        <v>82.8212</v>
      </c>
      <c r="D70" s="77" t="n">
        <f aca="false">D4*$C$1</f>
        <v>81.58234</v>
      </c>
      <c r="E70" s="77" t="n">
        <f aca="false">E4*$C$1</f>
        <v>60.88502</v>
      </c>
      <c r="F70" s="77" t="n">
        <f aca="false">F4*$C$1</f>
        <v>62.97578</v>
      </c>
      <c r="G70" s="78" t="n">
        <f aca="false">(1+G89)*F70</f>
        <v>66.124569</v>
      </c>
      <c r="H70" s="77" t="n">
        <f aca="false">(1+H89)*G70</f>
        <v>69.43079745</v>
      </c>
      <c r="I70" s="77" t="n">
        <f aca="false">(1+I89)*H70</f>
        <v>72.9023373225</v>
      </c>
      <c r="J70" s="77" t="n">
        <f aca="false">(1+J89)*I70</f>
        <v>76.547454188625</v>
      </c>
      <c r="K70" s="77" t="n">
        <f aca="false">(1+K89)*J70</f>
        <v>80.3748268980563</v>
      </c>
    </row>
    <row r="71" customFormat="false" ht="12.75" hidden="false" customHeight="true" outlineLevel="0" collapsed="false">
      <c r="B71" s="1" t="s">
        <v>26</v>
      </c>
      <c r="C71" s="46" t="n">
        <f aca="false">C5*$C$1</f>
        <v>10.43952</v>
      </c>
      <c r="D71" s="46" t="n">
        <f aca="false">D5*$C$1</f>
        <v>10.80842</v>
      </c>
      <c r="E71" s="46" t="n">
        <f aca="false">E5*$C$1</f>
        <v>14.89236</v>
      </c>
      <c r="F71" s="46" t="n">
        <f aca="false">F5*$C$1</f>
        <v>16.52392</v>
      </c>
      <c r="G71" s="79" t="n">
        <f aca="false">(1+G90)*F71</f>
        <v>19.828704</v>
      </c>
      <c r="H71" s="46" t="n">
        <f aca="false">(1+H90)*G71</f>
        <v>23.7944448</v>
      </c>
      <c r="I71" s="46" t="n">
        <f aca="false">(1+I90)*H71</f>
        <v>28.55333376</v>
      </c>
      <c r="J71" s="46" t="n">
        <f aca="false">(1+J90)*I71</f>
        <v>34.264000512</v>
      </c>
      <c r="K71" s="46" t="n">
        <f aca="false">(1+K90)*J71</f>
        <v>41.1168006144</v>
      </c>
    </row>
    <row r="72" customFormat="false" ht="12.75" hidden="false" customHeight="true" outlineLevel="0" collapsed="false">
      <c r="B72" s="76" t="s">
        <v>27</v>
      </c>
      <c r="C72" s="77" t="n">
        <f aca="false">C6*$C$1</f>
        <v>8.55092</v>
      </c>
      <c r="D72" s="77" t="n">
        <f aca="false">D6*$C$1</f>
        <v>9.68856</v>
      </c>
      <c r="E72" s="77" t="n">
        <f aca="false">E6*$C$1</f>
        <v>14.36372</v>
      </c>
      <c r="F72" s="77" t="n">
        <f aca="false">F6*$C$1</f>
        <v>18.522</v>
      </c>
      <c r="G72" s="78" t="n">
        <f aca="false">(1+G91)*F72</f>
        <v>22.2264</v>
      </c>
      <c r="H72" s="77" t="n">
        <f aca="false">(1+H91)*G72</f>
        <v>24.44904</v>
      </c>
      <c r="I72" s="77" t="n">
        <f aca="false">(1+I91)*H72</f>
        <v>26.893944</v>
      </c>
      <c r="J72" s="77" t="n">
        <f aca="false">(1+J91)*I72</f>
        <v>29.5833384</v>
      </c>
      <c r="K72" s="77" t="n">
        <f aca="false">(1+K91)*J72</f>
        <v>32.54167224</v>
      </c>
    </row>
    <row r="73" customFormat="false" ht="12.75" hidden="false" customHeight="true" outlineLevel="0" collapsed="false">
      <c r="B73" s="1" t="s">
        <v>28</v>
      </c>
      <c r="C73" s="46" t="n">
        <f aca="false">C7*$C$1</f>
        <v>6.45498</v>
      </c>
      <c r="D73" s="46" t="n">
        <f aca="false">D7*$C$1</f>
        <v>7.79534</v>
      </c>
      <c r="E73" s="46" t="n">
        <f aca="false">E7*$C$1</f>
        <v>13.8628</v>
      </c>
      <c r="F73" s="46" t="n">
        <f aca="false">F7*$C$1</f>
        <v>14.17808</v>
      </c>
      <c r="G73" s="79" t="n">
        <f aca="false">(1+G92)*F73</f>
        <v>14.17808</v>
      </c>
      <c r="H73" s="46" t="n">
        <f aca="false">(1+H92)*G73</f>
        <v>14.17808</v>
      </c>
      <c r="I73" s="46" t="n">
        <f aca="false">(1+I92)*H73</f>
        <v>14.17808</v>
      </c>
      <c r="J73" s="46" t="n">
        <f aca="false">(1+J92)*I73</f>
        <v>14.17808</v>
      </c>
      <c r="K73" s="46" t="n">
        <f aca="false">(1+K92)*J73</f>
        <v>14.17808</v>
      </c>
    </row>
    <row r="74" customFormat="false" ht="12.75" hidden="false" customHeight="true" outlineLevel="0" collapsed="false">
      <c r="B74" s="76" t="s">
        <v>29</v>
      </c>
      <c r="C74" s="77" t="n">
        <f aca="false">C8*$C$1</f>
        <v>6.24624</v>
      </c>
      <c r="D74" s="77" t="n">
        <f aca="false">D8*$C$1</f>
        <v>7.01568</v>
      </c>
      <c r="E74" s="77" t="n">
        <f aca="false">E8*$C$1</f>
        <v>8.37228</v>
      </c>
      <c r="F74" s="77" t="n">
        <f aca="false">F8*$C$1</f>
        <v>9.39064</v>
      </c>
      <c r="G74" s="78" t="n">
        <f aca="false">(1+G93)*F74</f>
        <v>9.39064</v>
      </c>
      <c r="H74" s="77" t="n">
        <f aca="false">(1+H93)*G74</f>
        <v>9.39064</v>
      </c>
      <c r="I74" s="77" t="n">
        <f aca="false">(1+I93)*H74</f>
        <v>9.39064</v>
      </c>
      <c r="J74" s="77" t="n">
        <f aca="false">(1+J93)*I74</f>
        <v>9.39064</v>
      </c>
      <c r="K74" s="77" t="n">
        <f aca="false">(1+K93)*J74</f>
        <v>9.39064</v>
      </c>
    </row>
    <row r="75" customFormat="false" ht="12.75" hidden="false" customHeight="true" outlineLevel="0" collapsed="false">
      <c r="B75" s="1" t="s">
        <v>30</v>
      </c>
      <c r="C75" s="46" t="n">
        <f aca="false">C9*$C$1</f>
        <v>4.91581999999999</v>
      </c>
      <c r="D75" s="46" t="n">
        <f aca="false">D9*$C$1</f>
        <v>4.72584</v>
      </c>
      <c r="E75" s="46" t="n">
        <f aca="false">E9*$C$1</f>
        <v>19.38734</v>
      </c>
      <c r="F75" s="46" t="n">
        <f aca="false">F9*$C$1</f>
        <v>17.89816</v>
      </c>
      <c r="G75" s="79" t="n">
        <f aca="false">(1+G94)*F75</f>
        <v>17.89816</v>
      </c>
      <c r="H75" s="46" t="n">
        <f aca="false">(1+H94)*G75</f>
        <v>17.89816</v>
      </c>
      <c r="I75" s="46" t="n">
        <f aca="false">(1+I94)*H75</f>
        <v>17.89816</v>
      </c>
      <c r="J75" s="46" t="n">
        <f aca="false">(1+J94)*I75</f>
        <v>17.89816</v>
      </c>
      <c r="K75" s="46" t="n">
        <f aca="false">(1+K94)*J75</f>
        <v>17.89816</v>
      </c>
    </row>
    <row r="76" customFormat="false" ht="12.75" hidden="false" customHeight="true" outlineLevel="0" collapsed="false">
      <c r="B76" s="47" t="s">
        <v>31</v>
      </c>
      <c r="C76" s="48" t="n">
        <f aca="false">SUM(C70:C75)</f>
        <v>119.42868</v>
      </c>
      <c r="D76" s="48" t="n">
        <f aca="false">SUM(D70:D75)</f>
        <v>121.61618</v>
      </c>
      <c r="E76" s="48" t="n">
        <f aca="false">SUM(E70:E75)</f>
        <v>131.76352</v>
      </c>
      <c r="F76" s="48" t="n">
        <f aca="false">SUM(F70:F75)</f>
        <v>139.48858</v>
      </c>
      <c r="G76" s="80" t="n">
        <f aca="false">SUM(G70:G75)</f>
        <v>149.646553</v>
      </c>
      <c r="H76" s="48" t="n">
        <f aca="false">SUM(H70:H75)</f>
        <v>159.14116225</v>
      </c>
      <c r="I76" s="48" t="n">
        <f aca="false">SUM(I70:I75)</f>
        <v>169.8164950825</v>
      </c>
      <c r="J76" s="48" t="n">
        <f aca="false">SUM(J70:J75)</f>
        <v>181.861673100625</v>
      </c>
      <c r="K76" s="48" t="n">
        <f aca="false">SUM(K70:K75)</f>
        <v>195.500179752456</v>
      </c>
    </row>
    <row r="77" customFormat="false" ht="12.75" hidden="false" customHeight="true" outlineLevel="0" collapsed="false">
      <c r="C77" s="46"/>
      <c r="D77" s="46"/>
      <c r="E77" s="46"/>
      <c r="F77" s="46"/>
      <c r="G77" s="79"/>
      <c r="H77" s="46"/>
      <c r="I77" s="46"/>
      <c r="J77" s="46"/>
      <c r="K77" s="46"/>
    </row>
    <row r="78" customFormat="false" ht="12.75" hidden="false" customHeight="true" outlineLevel="0" collapsed="false">
      <c r="B78" s="45" t="s">
        <v>71</v>
      </c>
      <c r="C78" s="46"/>
      <c r="D78" s="46"/>
      <c r="E78" s="46"/>
      <c r="F78" s="46"/>
      <c r="G78" s="79"/>
      <c r="H78" s="81"/>
      <c r="I78" s="81"/>
      <c r="J78" s="81"/>
      <c r="K78" s="81"/>
    </row>
    <row r="79" customFormat="false" ht="12.75" hidden="false" customHeight="true" outlineLevel="0" collapsed="false">
      <c r="B79" s="76" t="s">
        <v>25</v>
      </c>
      <c r="C79" s="77" t="n">
        <f aca="false">C13*$C$1</f>
        <v>25.54034</v>
      </c>
      <c r="D79" s="77" t="n">
        <f aca="false">D13*$C$1</f>
        <v>25.88068</v>
      </c>
      <c r="E79" s="77" t="n">
        <f aca="false">E13*$C$1</f>
        <v>27.27578</v>
      </c>
      <c r="F79" s="77" t="n">
        <f aca="false">F13*$C$1</f>
        <v>27.47248</v>
      </c>
      <c r="G79" s="78" t="n">
        <f aca="false">(1+G98)*F79</f>
        <v>28.846104</v>
      </c>
      <c r="H79" s="77" t="n">
        <f aca="false">(1+H98)*G79</f>
        <v>30.2884092</v>
      </c>
      <c r="I79" s="77" t="n">
        <f aca="false">(1+I98)*H79</f>
        <v>31.80282966</v>
      </c>
      <c r="J79" s="77" t="n">
        <f aca="false">(1+J98)*I79</f>
        <v>33.392971143</v>
      </c>
      <c r="K79" s="77" t="n">
        <f aca="false">(1+K98)*J79</f>
        <v>35.06261970015</v>
      </c>
      <c r="L79" s="81" t="n">
        <f aca="false">(K79/F79)^(1/5)-1</f>
        <v>0.05</v>
      </c>
    </row>
    <row r="80" customFormat="false" ht="12.75" hidden="false" customHeight="true" outlineLevel="0" collapsed="false">
      <c r="B80" s="1" t="s">
        <v>26</v>
      </c>
      <c r="C80" s="46" t="n">
        <f aca="false">C14*$C$1</f>
        <v>0.16044</v>
      </c>
      <c r="D80" s="46" t="n">
        <f aca="false">D14*$C$1</f>
        <v>0.19908</v>
      </c>
      <c r="E80" s="46" t="n">
        <f aca="false">E14*$C$1</f>
        <v>0.85694</v>
      </c>
      <c r="F80" s="46" t="n">
        <f aca="false">F14*$C$1</f>
        <v>1.47784</v>
      </c>
      <c r="G80" s="79" t="n">
        <f aca="false">(1+G99)*F80</f>
        <v>2.068976</v>
      </c>
      <c r="H80" s="46" t="n">
        <f aca="false">(1+H99)*G80</f>
        <v>2.8965664</v>
      </c>
      <c r="I80" s="46" t="n">
        <f aca="false">(1+I99)*H80</f>
        <v>4.05519296</v>
      </c>
      <c r="J80" s="46" t="n">
        <f aca="false">(1+J99)*I80</f>
        <v>5.677270144</v>
      </c>
      <c r="K80" s="46" t="n">
        <f aca="false">(1+K99)*J80</f>
        <v>7.9481782016</v>
      </c>
      <c r="L80" s="81" t="n">
        <f aca="false">(K80/F80)^(1/5)-1</f>
        <v>0.4</v>
      </c>
    </row>
    <row r="81" customFormat="false" ht="12.75" hidden="false" customHeight="true" outlineLevel="0" collapsed="false">
      <c r="B81" s="76" t="s">
        <v>27</v>
      </c>
      <c r="C81" s="77" t="n">
        <f aca="false">C15*$C$1</f>
        <v>-1.25874</v>
      </c>
      <c r="D81" s="77" t="n">
        <f aca="false">D15*$C$1</f>
        <v>-0.7868</v>
      </c>
      <c r="E81" s="77" t="n">
        <f aca="false">E15*$C$1</f>
        <v>-1.1249</v>
      </c>
      <c r="F81" s="77" t="n">
        <f aca="false">F15*$C$1</f>
        <v>-2.11918</v>
      </c>
      <c r="G81" s="78" t="n">
        <v>0.1</v>
      </c>
      <c r="H81" s="77" t="n">
        <v>2</v>
      </c>
      <c r="I81" s="77" t="n">
        <f aca="false">(1+I100)*H81</f>
        <v>3</v>
      </c>
      <c r="J81" s="77" t="n">
        <f aca="false">(1+J100)*I81</f>
        <v>4.5</v>
      </c>
      <c r="K81" s="77" t="n">
        <f aca="false">(1+K100)*J81</f>
        <v>6.75</v>
      </c>
      <c r="L81" s="81" t="n">
        <f aca="false">-(K81/F81)^(1/5)-1</f>
        <v>0.260744799064814</v>
      </c>
    </row>
    <row r="82" customFormat="false" ht="12.75" hidden="false" customHeight="true" outlineLevel="0" collapsed="false">
      <c r="B82" s="1" t="s">
        <v>28</v>
      </c>
      <c r="C82" s="46" t="n">
        <f aca="false">C16*$C$1</f>
        <v>-0.2051</v>
      </c>
      <c r="D82" s="46" t="n">
        <f aca="false">D16*$C$1</f>
        <v>-0.05474</v>
      </c>
      <c r="E82" s="46" t="n">
        <f aca="false">E16*$C$1</f>
        <v>0.19628</v>
      </c>
      <c r="F82" s="46" t="n">
        <f aca="false">F16*$C$1</f>
        <v>0.04228</v>
      </c>
      <c r="G82" s="79" t="n">
        <f aca="false">(1+G101)*F82</f>
        <v>0.04228</v>
      </c>
      <c r="H82" s="46" t="n">
        <f aca="false">(1+H101)*G82</f>
        <v>0.04228</v>
      </c>
      <c r="I82" s="46" t="n">
        <f aca="false">(1+I101)*H82</f>
        <v>0.04228</v>
      </c>
      <c r="J82" s="46" t="n">
        <f aca="false">(1+J101)*I82</f>
        <v>0.04228</v>
      </c>
      <c r="K82" s="46" t="n">
        <f aca="false">(1+K101)*J82</f>
        <v>0.04228</v>
      </c>
      <c r="L82" s="81" t="n">
        <f aca="false">(K82/F82)^(1/5)-1</f>
        <v>0</v>
      </c>
    </row>
    <row r="83" customFormat="false" ht="12.75" hidden="false" customHeight="true" outlineLevel="0" collapsed="false">
      <c r="B83" s="76" t="s">
        <v>29</v>
      </c>
      <c r="C83" s="77" t="n">
        <f aca="false">C17*$C$1</f>
        <v>-3.09288</v>
      </c>
      <c r="D83" s="77" t="n">
        <f aca="false">D17*$C$1</f>
        <v>-1.96294</v>
      </c>
      <c r="E83" s="77" t="n">
        <f aca="false">E17*$C$1</f>
        <v>-1.37368</v>
      </c>
      <c r="F83" s="77" t="n">
        <f aca="false">F17*$C$1</f>
        <v>-0.51646</v>
      </c>
      <c r="G83" s="78" t="n">
        <f aca="false">(1+G102)*F83</f>
        <v>-0.51646</v>
      </c>
      <c r="H83" s="77" t="n">
        <f aca="false">(1+H102)*G83</f>
        <v>-0.51646</v>
      </c>
      <c r="I83" s="77" t="n">
        <f aca="false">(1+I102)*H83</f>
        <v>-0.51646</v>
      </c>
      <c r="J83" s="77" t="n">
        <f aca="false">(1+J102)*I83</f>
        <v>-0.51646</v>
      </c>
      <c r="K83" s="77" t="n">
        <f aca="false">(1+K102)*J83</f>
        <v>-0.51646</v>
      </c>
      <c r="L83" s="81" t="n">
        <f aca="false">(K83/F83)^(1/5)-1</f>
        <v>0</v>
      </c>
    </row>
    <row r="84" customFormat="false" ht="12.75" hidden="false" customHeight="true" outlineLevel="0" collapsed="false">
      <c r="B84" s="1" t="s">
        <v>30</v>
      </c>
      <c r="C84" s="46" t="e">
        <f aca="false">C18*$C$1</f>
        <v>#VALUE!</v>
      </c>
      <c r="D84" s="46" t="n">
        <f aca="false">D18*$C$1</f>
        <v>-2.56774</v>
      </c>
      <c r="E84" s="46" t="n">
        <f aca="false">E18*$C$1</f>
        <v>-2.7265</v>
      </c>
      <c r="F84" s="46" t="n">
        <f aca="false">F18*$C$1</f>
        <v>-2.12786</v>
      </c>
      <c r="G84" s="79" t="n">
        <f aca="false">(1+G103)*F84</f>
        <v>-2.12786</v>
      </c>
      <c r="H84" s="46" t="n">
        <f aca="false">(1+H103)*G84</f>
        <v>-2.12786</v>
      </c>
      <c r="I84" s="46" t="n">
        <f aca="false">(1+I103)*H84</f>
        <v>-2.12786</v>
      </c>
      <c r="J84" s="46" t="n">
        <f aca="false">(1+J103)*I84</f>
        <v>-2.12786</v>
      </c>
      <c r="K84" s="46" t="n">
        <f aca="false">(1+K103)*J84</f>
        <v>-2.12786</v>
      </c>
      <c r="L84" s="81" t="n">
        <f aca="false">(K84/F84)^(1/5)-1</f>
        <v>0</v>
      </c>
    </row>
    <row r="85" customFormat="false" ht="12.75" hidden="false" customHeight="true" outlineLevel="0" collapsed="false">
      <c r="B85" s="76" t="s">
        <v>72</v>
      </c>
      <c r="C85" s="77" t="n">
        <f aca="false">27.808*C1</f>
        <v>3.89312</v>
      </c>
      <c r="D85" s="77" t="n">
        <f aca="false">27.799*C1</f>
        <v>3.89186</v>
      </c>
      <c r="E85" s="77" t="n">
        <f aca="false">26.64*C1</f>
        <v>3.7296</v>
      </c>
      <c r="F85" s="77" t="n">
        <f aca="false">29.26*C1</f>
        <v>4.0964</v>
      </c>
      <c r="G85" s="78" t="n">
        <f aca="false">F85/F76*G76</f>
        <v>4.39471202380295</v>
      </c>
      <c r="H85" s="77" t="n">
        <f aca="false">G85/G76*H76</f>
        <v>4.67354285950076</v>
      </c>
      <c r="I85" s="77" t="n">
        <f aca="false">H85/H76*I76</f>
        <v>4.98704833367687</v>
      </c>
      <c r="J85" s="77" t="n">
        <f aca="false">I85/I76*J76</f>
        <v>5.34078243315259</v>
      </c>
      <c r="K85" s="77" t="n">
        <f aca="false">J85/J76*K76</f>
        <v>5.74130825862563</v>
      </c>
      <c r="L85" s="81" t="n">
        <f aca="false">(K85/F85)^(1/5)-1</f>
        <v>0.0698470699222993</v>
      </c>
    </row>
    <row r="86" customFormat="false" ht="12.75" hidden="false" customHeight="true" outlineLevel="0" collapsed="false">
      <c r="B86" s="47" t="s">
        <v>31</v>
      </c>
      <c r="C86" s="48" t="e">
        <f aca="false">SUM(C79:C85)</f>
        <v>#VALUE!</v>
      </c>
      <c r="D86" s="48" t="n">
        <f aca="false">SUM(D79:D85)</f>
        <v>24.5994</v>
      </c>
      <c r="E86" s="48" t="n">
        <f aca="false">SUM(E79:E85)</f>
        <v>26.83352</v>
      </c>
      <c r="F86" s="48" t="n">
        <f aca="false">SUM(F79:F85)</f>
        <v>28.3255</v>
      </c>
      <c r="G86" s="80" t="n">
        <f aca="false">SUM(G79:G85)</f>
        <v>32.807752023803</v>
      </c>
      <c r="H86" s="48" t="n">
        <f aca="false">SUM(H79:H85)</f>
        <v>37.2564784595008</v>
      </c>
      <c r="I86" s="48" t="n">
        <f aca="false">SUM(I79:I85)</f>
        <v>41.2430309536769</v>
      </c>
      <c r="J86" s="48" t="n">
        <f aca="false">SUM(J79:J85)</f>
        <v>46.3089837201526</v>
      </c>
      <c r="K86" s="48" t="n">
        <f aca="false">SUM(K79:K85)</f>
        <v>52.9000661603756</v>
      </c>
      <c r="L86" s="82" t="n">
        <f aca="false">(K86/F86)^(1/5)-1</f>
        <v>0.133067352120424</v>
      </c>
    </row>
    <row r="87" customFormat="false" ht="12.75" hidden="false" customHeight="true" outlineLevel="0" collapsed="false">
      <c r="G87" s="75"/>
    </row>
    <row r="88" customFormat="false" ht="12.75" hidden="false" customHeight="true" outlineLevel="0" collapsed="false">
      <c r="B88" s="45" t="s">
        <v>73</v>
      </c>
      <c r="G88" s="75"/>
    </row>
    <row r="89" customFormat="false" ht="12.75" hidden="false" customHeight="true" outlineLevel="0" collapsed="false">
      <c r="B89" s="76" t="s">
        <v>25</v>
      </c>
      <c r="C89" s="83"/>
      <c r="D89" s="83" t="n">
        <f aca="false">IFERROR(D70/C70-1,"-")</f>
        <v>-0.014958247405254</v>
      </c>
      <c r="E89" s="83" t="n">
        <f aca="false">IFERROR(E70/D70-1,"-")</f>
        <v>-0.253698533285513</v>
      </c>
      <c r="F89" s="83" t="n">
        <f aca="false">IFERROR(F70/E70-1,"-")</f>
        <v>0.0343394812057218</v>
      </c>
      <c r="G89" s="84" t="n">
        <f aca="false">G98</f>
        <v>0.05</v>
      </c>
      <c r="H89" s="85" t="n">
        <f aca="false">H98</f>
        <v>0.05</v>
      </c>
      <c r="I89" s="85" t="n">
        <f aca="false">I98</f>
        <v>0.05</v>
      </c>
      <c r="J89" s="85" t="n">
        <f aca="false">J98</f>
        <v>0.05</v>
      </c>
      <c r="K89" s="85" t="n">
        <f aca="false">K98</f>
        <v>0.05</v>
      </c>
    </row>
    <row r="90" customFormat="false" ht="12.75" hidden="false" customHeight="true" outlineLevel="0" collapsed="false">
      <c r="B90" s="1" t="s">
        <v>26</v>
      </c>
      <c r="C90" s="86"/>
      <c r="D90" s="86" t="n">
        <f aca="false">IFERROR(D71/C71-1,"-")</f>
        <v>0.0353368737259951</v>
      </c>
      <c r="E90" s="86" t="n">
        <f aca="false">IFERROR(E71/D71-1,"-")</f>
        <v>0.377848011087652</v>
      </c>
      <c r="F90" s="86" t="n">
        <f aca="false">IFERROR(F71/E71-1,"-")</f>
        <v>0.109556846597853</v>
      </c>
      <c r="G90" s="87" t="n">
        <v>0.2</v>
      </c>
      <c r="H90" s="88" t="n">
        <v>0.2</v>
      </c>
      <c r="I90" s="88" t="n">
        <v>0.2</v>
      </c>
      <c r="J90" s="88" t="n">
        <v>0.2</v>
      </c>
      <c r="K90" s="88" t="n">
        <v>0.2</v>
      </c>
    </row>
    <row r="91" customFormat="false" ht="12.75" hidden="false" customHeight="true" outlineLevel="0" collapsed="false">
      <c r="B91" s="76" t="s">
        <v>27</v>
      </c>
      <c r="C91" s="83"/>
      <c r="D91" s="83" t="n">
        <f aca="false">IFERROR(D72/C72-1,"-")</f>
        <v>0.133042994204132</v>
      </c>
      <c r="E91" s="83" t="n">
        <f aca="false">IFERROR(E72/D72-1,"-")</f>
        <v>0.482544361597596</v>
      </c>
      <c r="F91" s="83" t="n">
        <f aca="false">IFERROR(F72/E72-1,"-")</f>
        <v>0.289498820639779</v>
      </c>
      <c r="G91" s="84" t="n">
        <v>0.2</v>
      </c>
      <c r="H91" s="85" t="n">
        <v>0.1</v>
      </c>
      <c r="I91" s="85" t="n">
        <v>0.1</v>
      </c>
      <c r="J91" s="85" t="n">
        <v>0.1</v>
      </c>
      <c r="K91" s="85" t="n">
        <v>0.1</v>
      </c>
    </row>
    <row r="92" customFormat="false" ht="12.75" hidden="false" customHeight="true" outlineLevel="0" collapsed="false">
      <c r="B92" s="1" t="s">
        <v>28</v>
      </c>
      <c r="C92" s="86"/>
      <c r="D92" s="86" t="n">
        <f aca="false">IFERROR(D73/C73-1,"-")</f>
        <v>0.207647428806906</v>
      </c>
      <c r="E92" s="86" t="n">
        <f aca="false">IFERROR(E73/D73-1,"-")</f>
        <v>0.778344498123238</v>
      </c>
      <c r="F92" s="86" t="n">
        <f aca="false">IFERROR(F73/E73-1,"-")</f>
        <v>0.0227428802262171</v>
      </c>
      <c r="G92" s="87" t="n">
        <v>0</v>
      </c>
      <c r="H92" s="88" t="n">
        <v>0</v>
      </c>
      <c r="I92" s="88" t="n">
        <v>0</v>
      </c>
      <c r="J92" s="88" t="n">
        <v>0</v>
      </c>
      <c r="K92" s="88" t="n">
        <v>0</v>
      </c>
    </row>
    <row r="93" customFormat="false" ht="12.75" hidden="false" customHeight="true" outlineLevel="0" collapsed="false">
      <c r="B93" s="76" t="s">
        <v>29</v>
      </c>
      <c r="C93" s="83"/>
      <c r="D93" s="83" t="n">
        <f aca="false">IFERROR(D74/C74-1,"-")</f>
        <v>0.123184507799893</v>
      </c>
      <c r="E93" s="83" t="n">
        <f aca="false">IFERROR(E74/D74-1,"-")</f>
        <v>0.193366858237548</v>
      </c>
      <c r="F93" s="83" t="n">
        <f aca="false">IFERROR(F74/E74-1,"-")</f>
        <v>0.121634727935521</v>
      </c>
      <c r="G93" s="84" t="n">
        <v>0</v>
      </c>
      <c r="H93" s="85" t="n">
        <v>0</v>
      </c>
      <c r="I93" s="85" t="n">
        <v>0</v>
      </c>
      <c r="J93" s="85" t="n">
        <v>0</v>
      </c>
      <c r="K93" s="85" t="n">
        <v>0</v>
      </c>
    </row>
    <row r="94" customFormat="false" ht="12.75" hidden="false" customHeight="true" outlineLevel="0" collapsed="false">
      <c r="B94" s="1" t="s">
        <v>30</v>
      </c>
      <c r="C94" s="86"/>
      <c r="D94" s="86" t="n">
        <f aca="false">IFERROR(D75/C75-1,"-")</f>
        <v>-0.0386466550850104</v>
      </c>
      <c r="E94" s="86" t="n">
        <f aca="false">IFERROR(E75/D75-1,"-")</f>
        <v>3.10241142315441</v>
      </c>
      <c r="F94" s="86" t="n">
        <f aca="false">IFERROR(F75/E75-1,"-")</f>
        <v>-0.0768119814270554</v>
      </c>
      <c r="G94" s="87" t="n">
        <v>0</v>
      </c>
      <c r="H94" s="88" t="n">
        <v>0</v>
      </c>
      <c r="I94" s="88" t="n">
        <v>0</v>
      </c>
      <c r="J94" s="88" t="n">
        <v>0</v>
      </c>
      <c r="K94" s="88" t="n">
        <v>0</v>
      </c>
    </row>
    <row r="95" customFormat="false" ht="12.75" hidden="false" customHeight="true" outlineLevel="0" collapsed="false">
      <c r="B95" s="47" t="s">
        <v>31</v>
      </c>
      <c r="C95" s="89"/>
      <c r="D95" s="89" t="n">
        <f aca="false">IFERROR(D76/C76-1,"-")</f>
        <v>0.0183163709085623</v>
      </c>
      <c r="E95" s="89" t="n">
        <f aca="false">IFERROR(E76/D76-1,"-")</f>
        <v>0.0834374176199253</v>
      </c>
      <c r="F95" s="89" t="n">
        <f aca="false">IFERROR(F76/E76-1,"-")</f>
        <v>0.0586282151539366</v>
      </c>
      <c r="G95" s="90" t="n">
        <f aca="false">IFERROR(G76/F76-1,"-")</f>
        <v>0.0728229723178773</v>
      </c>
      <c r="H95" s="89" t="n">
        <f aca="false">IFERROR(H76/G76-1,"-")</f>
        <v>0.0634468957664531</v>
      </c>
      <c r="I95" s="89" t="n">
        <f aca="false">IFERROR(I76/H76-1,"-")</f>
        <v>0.067080902775674</v>
      </c>
      <c r="J95" s="89" t="n">
        <f aca="false">IFERROR(J76/I76-1,"-")</f>
        <v>0.0709305536677884</v>
      </c>
      <c r="K95" s="89" t="n">
        <f aca="false">IFERROR(K76/J76-1,"-")</f>
        <v>0.0749938479026586</v>
      </c>
    </row>
    <row r="96" customFormat="false" ht="12.75" hidden="false" customHeight="true" outlineLevel="0" collapsed="false">
      <c r="C96" s="86"/>
      <c r="D96" s="86"/>
      <c r="E96" s="86"/>
      <c r="F96" s="86"/>
      <c r="G96" s="87"/>
      <c r="H96" s="88"/>
      <c r="I96" s="88"/>
      <c r="J96" s="88"/>
      <c r="K96" s="88"/>
    </row>
    <row r="97" customFormat="false" ht="12.75" hidden="false" customHeight="true" outlineLevel="0" collapsed="false">
      <c r="B97" s="45" t="s">
        <v>74</v>
      </c>
      <c r="C97" s="86"/>
      <c r="D97" s="86"/>
      <c r="E97" s="86"/>
      <c r="F97" s="86"/>
      <c r="G97" s="87"/>
      <c r="H97" s="88"/>
      <c r="I97" s="88"/>
      <c r="J97" s="88"/>
      <c r="K97" s="88"/>
    </row>
    <row r="98" customFormat="false" ht="12.75" hidden="false" customHeight="true" outlineLevel="0" collapsed="false">
      <c r="B98" s="76" t="s">
        <v>25</v>
      </c>
      <c r="C98" s="83"/>
      <c r="D98" s="83" t="n">
        <f aca="false">IFERROR(D79/C79-1,"-")</f>
        <v>0.0133255861120094</v>
      </c>
      <c r="E98" s="83" t="n">
        <f aca="false">IFERROR(E79/D79-1,"-")</f>
        <v>0.0539050751371293</v>
      </c>
      <c r="F98" s="83" t="n">
        <f aca="false">IFERROR(F79/E79-1,"-")</f>
        <v>0.00721152612317599</v>
      </c>
      <c r="G98" s="84" t="n">
        <v>0.05</v>
      </c>
      <c r="H98" s="85" t="n">
        <v>0.05</v>
      </c>
      <c r="I98" s="85" t="n">
        <v>0.05</v>
      </c>
      <c r="J98" s="85" t="n">
        <v>0.05</v>
      </c>
      <c r="K98" s="85" t="n">
        <v>0.05</v>
      </c>
    </row>
    <row r="99" customFormat="false" ht="12.75" hidden="false" customHeight="true" outlineLevel="0" collapsed="false">
      <c r="B99" s="1" t="s">
        <v>26</v>
      </c>
      <c r="C99" s="86"/>
      <c r="D99" s="86" t="n">
        <f aca="false">IFERROR(D80/C80-1,"-")</f>
        <v>0.240837696335079</v>
      </c>
      <c r="E99" s="86" t="n">
        <f aca="false">IFERROR(E80/D80-1,"-")</f>
        <v>3.30450070323488</v>
      </c>
      <c r="F99" s="86" t="n">
        <f aca="false">IFERROR(F80/E80-1,"-")</f>
        <v>0.724554811305342</v>
      </c>
      <c r="G99" s="87" t="n">
        <v>0.4</v>
      </c>
      <c r="H99" s="88" t="n">
        <v>0.4</v>
      </c>
      <c r="I99" s="88" t="n">
        <v>0.4</v>
      </c>
      <c r="J99" s="88" t="n">
        <v>0.4</v>
      </c>
      <c r="K99" s="88" t="n">
        <v>0.4</v>
      </c>
    </row>
    <row r="100" customFormat="false" ht="12.75" hidden="false" customHeight="true" outlineLevel="0" collapsed="false">
      <c r="B100" s="76" t="s">
        <v>27</v>
      </c>
      <c r="C100" s="83"/>
      <c r="D100" s="83" t="n">
        <f aca="false">IFERROR(D81/C81-1,"-")</f>
        <v>-0.374930486041597</v>
      </c>
      <c r="E100" s="83" t="n">
        <f aca="false">IFERROR(E81/D81-1,"-")</f>
        <v>0.429715302491103</v>
      </c>
      <c r="F100" s="83" t="n">
        <f aca="false">IFERROR(F81/E81-1,"-")</f>
        <v>0.883883011823273</v>
      </c>
      <c r="G100" s="84" t="n">
        <f aca="false">-IFERROR(G81/F81-1,"-")</f>
        <v>1.04718806330751</v>
      </c>
      <c r="H100" s="85" t="n">
        <f aca="false">IFERROR(H81/G81-1,"-")</f>
        <v>19</v>
      </c>
      <c r="I100" s="85" t="n">
        <v>0.5</v>
      </c>
      <c r="J100" s="85" t="n">
        <v>0.5</v>
      </c>
      <c r="K100" s="85" t="n">
        <v>0.5</v>
      </c>
    </row>
    <row r="101" customFormat="false" ht="12.75" hidden="false" customHeight="true" outlineLevel="0" collapsed="false">
      <c r="B101" s="1" t="s">
        <v>28</v>
      </c>
      <c r="C101" s="86"/>
      <c r="D101" s="86" t="n">
        <f aca="false">IFERROR(D82/C82-1,"-")</f>
        <v>-0.733105802047782</v>
      </c>
      <c r="E101" s="86" t="n">
        <f aca="false">IFERROR(E82/D82-1,"-")</f>
        <v>-4.58567774936061</v>
      </c>
      <c r="F101" s="86" t="n">
        <f aca="false">IFERROR(F82/E82-1,"-")</f>
        <v>-0.784593437945792</v>
      </c>
      <c r="G101" s="87" t="n">
        <v>0</v>
      </c>
      <c r="H101" s="88" t="n">
        <v>0</v>
      </c>
      <c r="I101" s="88" t="n">
        <v>0</v>
      </c>
      <c r="J101" s="88" t="n">
        <v>0</v>
      </c>
      <c r="K101" s="88" t="n">
        <v>0</v>
      </c>
    </row>
    <row r="102" customFormat="false" ht="12.75" hidden="false" customHeight="true" outlineLevel="0" collapsed="false">
      <c r="B102" s="76" t="s">
        <v>29</v>
      </c>
      <c r="C102" s="83"/>
      <c r="D102" s="83" t="n">
        <f aca="false">IFERROR(D83/C83-1,"-")</f>
        <v>-0.365335868187579</v>
      </c>
      <c r="E102" s="83" t="n">
        <f aca="false">IFERROR(E83/D83-1,"-")</f>
        <v>-0.300192568290422</v>
      </c>
      <c r="F102" s="83" t="n">
        <f aca="false">IFERROR(F83/E83-1,"-")</f>
        <v>-0.624031797798614</v>
      </c>
      <c r="G102" s="84" t="n">
        <v>0</v>
      </c>
      <c r="H102" s="85" t="n">
        <v>0</v>
      </c>
      <c r="I102" s="85" t="n">
        <v>0</v>
      </c>
      <c r="J102" s="85" t="n">
        <v>0</v>
      </c>
      <c r="K102" s="85" t="n">
        <v>0</v>
      </c>
    </row>
    <row r="103" customFormat="false" ht="12.75" hidden="false" customHeight="true" outlineLevel="0" collapsed="false">
      <c r="B103" s="1" t="s">
        <v>30</v>
      </c>
      <c r="C103" s="86"/>
      <c r="D103" s="91" t="str">
        <f aca="false">IFERROR(D84/C84-1,"-")</f>
        <v>-</v>
      </c>
      <c r="E103" s="86" t="n">
        <f aca="false">IFERROR(E84/D84-1,"-")</f>
        <v>0.0618286898206213</v>
      </c>
      <c r="F103" s="86" t="n">
        <f aca="false">IFERROR(F84/E84-1,"-")</f>
        <v>-0.21956354300385</v>
      </c>
      <c r="G103" s="87" t="n">
        <v>0</v>
      </c>
      <c r="H103" s="88" t="n">
        <v>0</v>
      </c>
      <c r="I103" s="88" t="n">
        <v>0</v>
      </c>
      <c r="J103" s="88" t="n">
        <v>0</v>
      </c>
      <c r="K103" s="88" t="n">
        <v>0</v>
      </c>
    </row>
    <row r="104" customFormat="false" ht="12.75" hidden="false" customHeight="true" outlineLevel="0" collapsed="false">
      <c r="B104" s="47" t="s">
        <v>31</v>
      </c>
      <c r="C104" s="89"/>
      <c r="D104" s="89" t="str">
        <f aca="false">IFERROR(D86/C86-1,"-")</f>
        <v>-</v>
      </c>
      <c r="E104" s="89" t="n">
        <f aca="false">IFERROR(E86/D86-1,"-")</f>
        <v>0.0908201013032837</v>
      </c>
      <c r="F104" s="89" t="n">
        <f aca="false">IFERROR(F86/E86-1,"-")</f>
        <v>0.0556013523384182</v>
      </c>
      <c r="G104" s="90" t="n">
        <f aca="false">IFERROR(G86/F86-1,"-")</f>
        <v>0.158240879200824</v>
      </c>
      <c r="H104" s="89" t="n">
        <f aca="false">IFERROR(H86/G86-1,"-")</f>
        <v>0.135599855560665</v>
      </c>
      <c r="I104" s="89" t="n">
        <f aca="false">IFERROR(I86/H86-1,"-")</f>
        <v>0.107002933691375</v>
      </c>
      <c r="J104" s="89" t="n">
        <f aca="false">IFERROR(J86/I86-1,"-")</f>
        <v>0.122831728157071</v>
      </c>
      <c r="K104" s="89" t="n">
        <f aca="false">IFERROR(K86/J86-1,"-")</f>
        <v>0.142328375851504</v>
      </c>
    </row>
    <row r="105" customFormat="false" ht="12.75" hidden="false" customHeight="true" outlineLevel="0" collapsed="false">
      <c r="G105" s="75"/>
    </row>
    <row r="106" customFormat="false" ht="12.75" hidden="false" customHeight="true" outlineLevel="0" collapsed="false">
      <c r="B106" s="45" t="s">
        <v>75</v>
      </c>
      <c r="C106" s="86"/>
      <c r="D106" s="86"/>
      <c r="E106" s="86"/>
      <c r="F106" s="86"/>
      <c r="G106" s="92"/>
      <c r="H106" s="86"/>
      <c r="I106" s="86"/>
      <c r="J106" s="86"/>
      <c r="K106" s="86"/>
    </row>
    <row r="107" customFormat="false" ht="12.75" hidden="false" customHeight="true" outlineLevel="0" collapsed="false">
      <c r="B107" s="76" t="s">
        <v>25</v>
      </c>
      <c r="C107" s="83" t="n">
        <f aca="false">IFERROR(C79/C70,"-")</f>
        <v>0.308379255552926</v>
      </c>
      <c r="D107" s="83" t="n">
        <f aca="false">IFERROR(D79/D70,"-")</f>
        <v>0.317233852326374</v>
      </c>
      <c r="E107" s="83" t="n">
        <f aca="false">IFERROR(E79/E70,"-")</f>
        <v>0.447988355756473</v>
      </c>
      <c r="F107" s="83" t="n">
        <f aca="false">IFERROR(F79/F70,"-")</f>
        <v>0.436238820702181</v>
      </c>
      <c r="G107" s="84" t="n">
        <f aca="false">IFERROR(G79/G70,"-")</f>
        <v>0.436238820702181</v>
      </c>
      <c r="H107" s="85" t="n">
        <f aca="false">IFERROR(H79/H70,"-")</f>
        <v>0.436238820702181</v>
      </c>
      <c r="I107" s="85" t="n">
        <f aca="false">IFERROR(I79/I70,"-")</f>
        <v>0.436238820702181</v>
      </c>
      <c r="J107" s="85" t="n">
        <f aca="false">IFERROR(J79/J70,"-")</f>
        <v>0.436238820702181</v>
      </c>
      <c r="K107" s="85" t="n">
        <f aca="false">IFERROR(K79/K70,"-")</f>
        <v>0.436238820702181</v>
      </c>
    </row>
    <row r="108" customFormat="false" ht="12.75" hidden="false" customHeight="true" outlineLevel="0" collapsed="false">
      <c r="B108" s="1" t="s">
        <v>26</v>
      </c>
      <c r="C108" s="86" t="n">
        <f aca="false">IFERROR(C80/C71,"-")</f>
        <v>0.0153685226906984</v>
      </c>
      <c r="D108" s="86" t="n">
        <f aca="false">IFERROR(D80/D71,"-")</f>
        <v>0.0184189733559577</v>
      </c>
      <c r="E108" s="86" t="n">
        <f aca="false">IFERROR(E80/E71,"-")</f>
        <v>0.0575422565664542</v>
      </c>
      <c r="F108" s="86" t="n">
        <f aca="false">IFERROR(F80/F71,"-")</f>
        <v>0.0894364049208662</v>
      </c>
      <c r="G108" s="87" t="n">
        <f aca="false">IFERROR(G80/G71,"-")</f>
        <v>0.104342472407677</v>
      </c>
      <c r="H108" s="88" t="n">
        <f aca="false">IFERROR(H80/H71,"-")</f>
        <v>0.121732884475623</v>
      </c>
      <c r="I108" s="88" t="n">
        <f aca="false">IFERROR(I80/I71,"-")</f>
        <v>0.142021698554894</v>
      </c>
      <c r="J108" s="88" t="n">
        <f aca="false">IFERROR(J80/J71,"-")</f>
        <v>0.165691981647376</v>
      </c>
      <c r="K108" s="88" t="n">
        <f aca="false">IFERROR(K80/K71,"-")</f>
        <v>0.193307311921939</v>
      </c>
    </row>
    <row r="109" customFormat="false" ht="12.75" hidden="false" customHeight="true" outlineLevel="0" collapsed="false">
      <c r="B109" s="76" t="s">
        <v>27</v>
      </c>
      <c r="C109" s="83" t="n">
        <f aca="false">IFERROR(C81/C72,"-")</f>
        <v>-0.14720521300632</v>
      </c>
      <c r="D109" s="83" t="n">
        <f aca="false">IFERROR(D81/D72,"-")</f>
        <v>-0.0812091786601931</v>
      </c>
      <c r="E109" s="83" t="n">
        <f aca="false">IFERROR(E81/E72,"-")</f>
        <v>-0.0783153667712821</v>
      </c>
      <c r="F109" s="83" t="n">
        <f aca="false">IFERROR(F81/F72,"-")</f>
        <v>-0.114414210128496</v>
      </c>
      <c r="G109" s="84" t="n">
        <f aca="false">IFERROR(G81/G72,"-")</f>
        <v>0.0044991541590181</v>
      </c>
      <c r="H109" s="85" t="n">
        <f aca="false">IFERROR(H81/H72,"-")</f>
        <v>0.0818028028912383</v>
      </c>
      <c r="I109" s="85" t="n">
        <f aca="false">IFERROR(I81/I72,"-")</f>
        <v>0.11154927666987</v>
      </c>
      <c r="J109" s="85" t="n">
        <f aca="false">IFERROR(J81/J72,"-")</f>
        <v>0.152112650004369</v>
      </c>
      <c r="K109" s="85" t="n">
        <f aca="false">IFERROR(K81/K72,"-")</f>
        <v>0.207426340915048</v>
      </c>
    </row>
    <row r="110" customFormat="false" ht="12.75" hidden="false" customHeight="true" outlineLevel="0" collapsed="false">
      <c r="B110" s="1" t="s">
        <v>28</v>
      </c>
      <c r="C110" s="86" t="n">
        <f aca="false">IFERROR(C82/C73,"-")</f>
        <v>-0.0317739171926172</v>
      </c>
      <c r="D110" s="86" t="n">
        <f aca="false">IFERROR(D82/D73,"-")</f>
        <v>-0.0070221439988506</v>
      </c>
      <c r="E110" s="86" t="n">
        <f aca="false">IFERROR(E82/E73,"-")</f>
        <v>0.0141587558069077</v>
      </c>
      <c r="F110" s="86" t="n">
        <f aca="false">IFERROR(F82/F73,"-")</f>
        <v>0.00298206809384628</v>
      </c>
      <c r="G110" s="87" t="n">
        <f aca="false">IFERROR(G82/G73,"-")</f>
        <v>0.00298206809384628</v>
      </c>
      <c r="H110" s="88" t="n">
        <f aca="false">IFERROR(H82/H73,"-")</f>
        <v>0.00298206809384628</v>
      </c>
      <c r="I110" s="88" t="n">
        <f aca="false">IFERROR(I82/I73,"-")</f>
        <v>0.00298206809384628</v>
      </c>
      <c r="J110" s="88" t="n">
        <f aca="false">IFERROR(J82/J73,"-")</f>
        <v>0.00298206809384628</v>
      </c>
      <c r="K110" s="88" t="n">
        <f aca="false">IFERROR(K82/K73,"-")</f>
        <v>0.00298206809384628</v>
      </c>
    </row>
    <row r="111" customFormat="false" ht="12.75" hidden="false" customHeight="true" outlineLevel="0" collapsed="false">
      <c r="B111" s="76" t="s">
        <v>29</v>
      </c>
      <c r="C111" s="83" t="n">
        <f aca="false">IFERROR(C83/C74,"-")</f>
        <v>-0.49515868746638</v>
      </c>
      <c r="D111" s="83" t="n">
        <f aca="false">IFERROR(D83/D74,"-")</f>
        <v>-0.279793263090677</v>
      </c>
      <c r="E111" s="83" t="n">
        <f aca="false">IFERROR(E83/E74,"-")</f>
        <v>-0.164074780107689</v>
      </c>
      <c r="F111" s="83" t="n">
        <f aca="false">IFERROR(F83/F74,"-")</f>
        <v>-0.0549973164768323</v>
      </c>
      <c r="G111" s="84" t="n">
        <f aca="false">IFERROR(G83/G74,"-")</f>
        <v>-0.0549973164768323</v>
      </c>
      <c r="H111" s="85" t="n">
        <f aca="false">IFERROR(H83/H74,"-")</f>
        <v>-0.0549973164768323</v>
      </c>
      <c r="I111" s="85" t="n">
        <f aca="false">IFERROR(I83/I74,"-")</f>
        <v>-0.0549973164768323</v>
      </c>
      <c r="J111" s="85" t="n">
        <f aca="false">IFERROR(J83/J74,"-")</f>
        <v>-0.0549973164768323</v>
      </c>
      <c r="K111" s="85" t="n">
        <f aca="false">IFERROR(K83/K74,"-")</f>
        <v>-0.0549973164768323</v>
      </c>
    </row>
    <row r="112" customFormat="false" ht="12.75" hidden="false" customHeight="true" outlineLevel="0" collapsed="false">
      <c r="B112" s="1" t="s">
        <v>30</v>
      </c>
      <c r="C112" s="86" t="str">
        <f aca="false">IFERROR(C84/C75,"-")</f>
        <v>-</v>
      </c>
      <c r="D112" s="86" t="n">
        <f aca="false">IFERROR(D84/D75,"-")</f>
        <v>-0.543340443180472</v>
      </c>
      <c r="E112" s="86" t="n">
        <f aca="false">IFERROR(E84/E75,"-")</f>
        <v>-0.140633011026783</v>
      </c>
      <c r="F112" s="86" t="n">
        <f aca="false">IFERROR(F84/F75,"-")</f>
        <v>-0.118887081130127</v>
      </c>
      <c r="G112" s="87" t="n">
        <f aca="false">IFERROR(G84/G75,"-")</f>
        <v>-0.118887081130127</v>
      </c>
      <c r="H112" s="88" t="n">
        <f aca="false">IFERROR(H84/H75,"-")</f>
        <v>-0.118887081130127</v>
      </c>
      <c r="I112" s="88" t="n">
        <f aca="false">IFERROR(I84/I75,"-")</f>
        <v>-0.118887081130127</v>
      </c>
      <c r="J112" s="88" t="n">
        <f aca="false">IFERROR(J84/J75,"-")</f>
        <v>-0.118887081130127</v>
      </c>
      <c r="K112" s="88" t="n">
        <f aca="false">IFERROR(K84/K75,"-")</f>
        <v>-0.118887081130127</v>
      </c>
    </row>
    <row r="113" customFormat="false" ht="12.75" hidden="false" customHeight="true" outlineLevel="0" collapsed="false">
      <c r="B113" s="47" t="s">
        <v>31</v>
      </c>
      <c r="C113" s="89" t="str">
        <f aca="false">IFERROR(C86/C76,"-")</f>
        <v>-</v>
      </c>
      <c r="D113" s="89" t="n">
        <f aca="false">IFERROR(D86/D76,"-")</f>
        <v>0.202270783377672</v>
      </c>
      <c r="E113" s="89" t="n">
        <f aca="false">IFERROR(E86/E76,"-")</f>
        <v>0.203649082841746</v>
      </c>
      <c r="F113" s="89" t="n">
        <f aca="false">IFERROR(F86/F76,"-")</f>
        <v>0.203066803031474</v>
      </c>
      <c r="G113" s="90" t="n">
        <f aca="false">IFERROR(G86/G76,"-")</f>
        <v>0.219234933021163</v>
      </c>
      <c r="H113" s="89" t="n">
        <f aca="false">IFERROR(H86/H76,"-")</f>
        <v>0.234109629040998</v>
      </c>
      <c r="I113" s="89" t="n">
        <f aca="false">IFERROR(I86/I76,"-")</f>
        <v>0.242868226279433</v>
      </c>
      <c r="J113" s="89" t="n">
        <f aca="false">IFERROR(J86/J76,"-")</f>
        <v>0.254638500408657</v>
      </c>
      <c r="K113" s="89" t="n">
        <f aca="false">IFERROR(K86/K76,"-")</f>
        <v>0.270588324917952</v>
      </c>
    </row>
    <row r="114" customFormat="false" ht="12.75" hidden="false" customHeight="true" outlineLevel="0" collapsed="false">
      <c r="F114" s="86"/>
      <c r="G114" s="92"/>
    </row>
    <row r="115" customFormat="false" ht="12.75" hidden="false" customHeight="true" outlineLevel="0" collapsed="false">
      <c r="B115" s="45" t="s">
        <v>76</v>
      </c>
      <c r="C115" s="86"/>
      <c r="D115" s="86"/>
      <c r="E115" s="86"/>
      <c r="F115" s="86"/>
      <c r="G115" s="92"/>
      <c r="H115" s="86"/>
      <c r="I115" s="86"/>
      <c r="J115" s="86"/>
      <c r="K115" s="86"/>
    </row>
    <row r="116" customFormat="false" ht="12.75" hidden="false" customHeight="true" outlineLevel="0" collapsed="false">
      <c r="B116" s="76" t="s">
        <v>25</v>
      </c>
      <c r="C116" s="83" t="str">
        <f aca="false">IFERROR(C79/C$86,"-")</f>
        <v>-</v>
      </c>
      <c r="D116" s="83" t="n">
        <f aca="false">IFERROR(D79/D$86,"-")</f>
        <v>1.05208582323146</v>
      </c>
      <c r="E116" s="83" t="n">
        <f aca="false">IFERROR(E79/E$86,"-")</f>
        <v>1.01648162447566</v>
      </c>
      <c r="F116" s="83" t="n">
        <f aca="false">IFERROR(F79/F$86,"-")</f>
        <v>0.969885085876684</v>
      </c>
      <c r="G116" s="84" t="n">
        <f aca="false">IFERROR(G79/G$86,"-")</f>
        <v>0.879246587180717</v>
      </c>
      <c r="H116" s="85" t="n">
        <f aca="false">IFERROR(H79/H$86,"-")</f>
        <v>0.812970265907571</v>
      </c>
      <c r="I116" s="85" t="n">
        <f aca="false">IFERROR(I79/I$86,"-")</f>
        <v>0.771107964778829</v>
      </c>
      <c r="J116" s="85" t="n">
        <f aca="false">IFERROR(J79/J$86,"-")</f>
        <v>0.721090563005989</v>
      </c>
      <c r="K116" s="85" t="n">
        <f aca="false">IFERROR(K79/K$86,"-")</f>
        <v>0.66280861717359</v>
      </c>
    </row>
    <row r="117" customFormat="false" ht="12.75" hidden="false" customHeight="true" outlineLevel="0" collapsed="false">
      <c r="B117" s="1" t="s">
        <v>26</v>
      </c>
      <c r="C117" s="86" t="str">
        <f aca="false">IFERROR(C80/C$86,"-")</f>
        <v>-</v>
      </c>
      <c r="D117" s="86" t="n">
        <f aca="false">IFERROR(D80/D$86,"-")</f>
        <v>0.008092880314154</v>
      </c>
      <c r="E117" s="86" t="n">
        <f aca="false">IFERROR(E80/E$86,"-")</f>
        <v>0.0319354300143999</v>
      </c>
      <c r="F117" s="86" t="n">
        <f aca="false">IFERROR(F80/F$86,"-")</f>
        <v>0.0521734832571358</v>
      </c>
      <c r="G117" s="87" t="n">
        <f aca="false">IFERROR(G80/G$86,"-")</f>
        <v>0.0630636319885282</v>
      </c>
      <c r="H117" s="88" t="n">
        <f aca="false">IFERROR(H80/H$86,"-")</f>
        <v>0.0777466502409421</v>
      </c>
      <c r="I117" s="88" t="n">
        <f aca="false">IFERROR(I80/I$86,"-")</f>
        <v>0.0983243196785098</v>
      </c>
      <c r="J117" s="88" t="n">
        <f aca="false">IFERROR(J80/J$86,"-")</f>
        <v>0.12259543803224</v>
      </c>
      <c r="K117" s="88" t="n">
        <f aca="false">IFERROR(K80/K$86,"-")</f>
        <v>0.15024892743052</v>
      </c>
    </row>
    <row r="118" customFormat="false" ht="12.75" hidden="false" customHeight="true" outlineLevel="0" collapsed="false">
      <c r="B118" s="76" t="s">
        <v>27</v>
      </c>
      <c r="C118" s="83" t="str">
        <f aca="false">IFERROR(C81/C$86,"-")</f>
        <v>-</v>
      </c>
      <c r="D118" s="83" t="n">
        <f aca="false">IFERROR(D81/D$86,"-")</f>
        <v>-0.031984519947641</v>
      </c>
      <c r="E118" s="83" t="n">
        <f aca="false">IFERROR(E81/E$86,"-")</f>
        <v>-0.0419214475029739</v>
      </c>
      <c r="F118" s="83" t="n">
        <f aca="false">IFERROR(F81/F$86,"-")</f>
        <v>-0.0748152724576795</v>
      </c>
      <c r="G118" s="84" t="n">
        <f aca="false">IFERROR(G81/G$86,"-")</f>
        <v>0.00304806010260768</v>
      </c>
      <c r="H118" s="85" t="n">
        <f aca="false">IFERROR(H81/H$86,"-")</f>
        <v>0.0536819388921601</v>
      </c>
      <c r="I118" s="85" t="n">
        <f aca="false">IFERROR(I81/I$86,"-")</f>
        <v>0.0727395618272945</v>
      </c>
      <c r="J118" s="85" t="n">
        <f aca="false">IFERROR(J81/J$86,"-")</f>
        <v>0.0971733697978283</v>
      </c>
      <c r="K118" s="85" t="n">
        <f aca="false">IFERROR(K81/K$86,"-")</f>
        <v>0.127599084272148</v>
      </c>
    </row>
    <row r="119" customFormat="false" ht="12.75" hidden="false" customHeight="true" outlineLevel="0" collapsed="false">
      <c r="B119" s="1" t="s">
        <v>28</v>
      </c>
      <c r="C119" s="86" t="str">
        <f aca="false">IFERROR(C82/C$86,"-")</f>
        <v>-</v>
      </c>
      <c r="D119" s="86" t="n">
        <f aca="false">IFERROR(D82/D$86,"-")</f>
        <v>-0.00222525752660634</v>
      </c>
      <c r="E119" s="86" t="n">
        <f aca="false">IFERROR(E82/E$86,"-")</f>
        <v>0.0073147317236054</v>
      </c>
      <c r="F119" s="86" t="n">
        <f aca="false">IFERROR(F82/F$86,"-")</f>
        <v>0.00149264796737922</v>
      </c>
      <c r="G119" s="87" t="n">
        <f aca="false">IFERROR(G82/G$86,"-")</f>
        <v>0.00128871981138253</v>
      </c>
      <c r="H119" s="88" t="n">
        <f aca="false">IFERROR(H82/H$86,"-")</f>
        <v>0.00113483618818027</v>
      </c>
      <c r="I119" s="88" t="n">
        <f aca="false">IFERROR(I82/I$86,"-")</f>
        <v>0.00102514289135267</v>
      </c>
      <c r="J119" s="88" t="n">
        <f aca="false">IFERROR(J82/J$86,"-")</f>
        <v>0.000912997794456041</v>
      </c>
      <c r="K119" s="88" t="n">
        <f aca="false">IFERROR(K82/K$86,"-")</f>
        <v>0.000799242856744658</v>
      </c>
    </row>
    <row r="120" customFormat="false" ht="12.75" hidden="false" customHeight="true" outlineLevel="0" collapsed="false">
      <c r="B120" s="76" t="s">
        <v>29</v>
      </c>
      <c r="C120" s="83" t="str">
        <f aca="false">IFERROR(C83/C$86,"-")</f>
        <v>-</v>
      </c>
      <c r="D120" s="83" t="n">
        <f aca="false">IFERROR(D83/D$86,"-")</f>
        <v>-0.0797962551932161</v>
      </c>
      <c r="E120" s="83" t="n">
        <f aca="false">IFERROR(E83/E$86,"-")</f>
        <v>-0.0511926873552184</v>
      </c>
      <c r="F120" s="83" t="n">
        <f aca="false">IFERROR(F83/F$86,"-")</f>
        <v>-0.0182330408995428</v>
      </c>
      <c r="G120" s="84" t="n">
        <f aca="false">IFERROR(G83/G$86,"-")</f>
        <v>-0.0157420112059276</v>
      </c>
      <c r="H120" s="85" t="n">
        <f aca="false">IFERROR(H83/H$86,"-")</f>
        <v>-0.0138622870801225</v>
      </c>
      <c r="I120" s="85" t="n">
        <f aca="false">IFERROR(I83/I$86,"-")</f>
        <v>-0.0125223580337748</v>
      </c>
      <c r="J120" s="85" t="n">
        <f aca="false">IFERROR(J83/J$86,"-")</f>
        <v>-0.0111524796812859</v>
      </c>
      <c r="K120" s="85" t="n">
        <f aca="false">IFERROR(K83/K$86,"-")</f>
        <v>-0.00976293675010279</v>
      </c>
    </row>
    <row r="121" customFormat="false" ht="12.75" hidden="false" customHeight="true" outlineLevel="0" collapsed="false">
      <c r="B121" s="1" t="s">
        <v>30</v>
      </c>
      <c r="C121" s="86" t="str">
        <f aca="false">IFERROR(C84/C$86,"-")</f>
        <v>-</v>
      </c>
      <c r="D121" s="86" t="n">
        <f aca="false">IFERROR(D84/D$86,"-")</f>
        <v>-0.10438222070457</v>
      </c>
      <c r="E121" s="86" t="n">
        <f aca="false">IFERROR(E84/E$86,"-")</f>
        <v>-0.101607988813991</v>
      </c>
      <c r="F121" s="86" t="n">
        <f aca="false">IFERROR(F84/F$86,"-")</f>
        <v>-0.0751217101198567</v>
      </c>
      <c r="G121" s="87" t="n">
        <f aca="false">IFERROR(G84/G$86,"-")</f>
        <v>-0.0648584516993477</v>
      </c>
      <c r="H121" s="88" t="n">
        <f aca="false">IFERROR(H84/H$86,"-")</f>
        <v>-0.057113825245536</v>
      </c>
      <c r="I121" s="88" t="n">
        <f aca="false">IFERROR(I84/I$86,"-")</f>
        <v>-0.0515932013432757</v>
      </c>
      <c r="J121" s="88" t="n">
        <f aca="false">IFERROR(J84/J$86,"-")</f>
        <v>-0.0459491837017794</v>
      </c>
      <c r="K121" s="88" t="n">
        <f aca="false">IFERROR(K84/K$86,"-")</f>
        <v>-0.0402241462902717</v>
      </c>
    </row>
    <row r="122" customFormat="false" ht="12.75" hidden="false" customHeight="true" outlineLevel="0" collapsed="false">
      <c r="B122" s="47" t="s">
        <v>31</v>
      </c>
      <c r="C122" s="89" t="str">
        <f aca="false">IFERROR(C86/C$86,"-")</f>
        <v>-</v>
      </c>
      <c r="D122" s="89" t="n">
        <f aca="false">IFERROR(D86/D$86,"-")</f>
        <v>1</v>
      </c>
      <c r="E122" s="89" t="n">
        <f aca="false">IFERROR(E86/E$86,"-")</f>
        <v>1</v>
      </c>
      <c r="F122" s="89" t="n">
        <f aca="false">IFERROR(F86/F$86,"-")</f>
        <v>1</v>
      </c>
      <c r="G122" s="90" t="n">
        <f aca="false">IFERROR(G86/G$86,"-")</f>
        <v>1</v>
      </c>
      <c r="H122" s="89" t="n">
        <f aca="false">IFERROR(H86/H$86,"-")</f>
        <v>1</v>
      </c>
      <c r="I122" s="89" t="n">
        <f aca="false">IFERROR(I86/I$86,"-")</f>
        <v>1</v>
      </c>
      <c r="J122" s="89" t="n">
        <f aca="false">IFERROR(J86/J$86,"-")</f>
        <v>1</v>
      </c>
      <c r="K122" s="89" t="n">
        <f aca="false">IFERROR(K86/K$86,"-")</f>
        <v>1</v>
      </c>
    </row>
  </sheetData>
  <mergeCells count="2">
    <mergeCell ref="B21:C21"/>
    <mergeCell ref="B32:C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67"/>
  <sheetViews>
    <sheetView showFormulas="false" showGridLines="false" showRowColHeaders="true" showZeros="true" rightToLeft="false" tabSelected="false" showOutlineSymbols="true" defaultGridColor="true" view="pageBreakPreview" topLeftCell="A1" colorId="64" zoomScale="75" zoomScaleNormal="91" zoomScalePageLayoutView="75" workbookViewId="0">
      <selection pane="topLeft" activeCell="D51" activeCellId="0" sqref="D51"/>
    </sheetView>
  </sheetViews>
  <sheetFormatPr defaultColWidth="9.00390625" defaultRowHeight="12.75" customHeight="true" zeroHeight="false" outlineLevelRow="1" outlineLevelCol="0"/>
  <cols>
    <col collapsed="false" customWidth="true" hidden="false" outlineLevel="0" max="1" min="1" style="1" width="10.17"/>
    <col collapsed="false" customWidth="true" hidden="false" outlineLevel="0" max="2" min="2" style="1" width="15.83"/>
    <col collapsed="false" customWidth="false" hidden="false" outlineLevel="0" max="4" min="3" style="1" width="9"/>
    <col collapsed="false" customWidth="true" hidden="false" outlineLevel="0" max="5" min="5" style="1" width="9.17"/>
    <col collapsed="false" customWidth="false" hidden="false" outlineLevel="0" max="16384" min="6" style="1" width="9"/>
  </cols>
  <sheetData>
    <row r="2" customFormat="false" ht="15.75" hidden="false" customHeight="true" outlineLevel="0" collapsed="false">
      <c r="A2" s="49" t="n">
        <f aca="false">Summary!C7</f>
        <v>45917</v>
      </c>
      <c r="B2" s="3" t="s">
        <v>33</v>
      </c>
      <c r="C2" s="3"/>
      <c r="D2" s="3"/>
      <c r="E2" s="3"/>
      <c r="F2" s="3"/>
    </row>
    <row r="3" customFormat="false" ht="12.75" hidden="false" customHeight="true" outlineLevel="0" collapsed="false">
      <c r="B3" s="1" t="s">
        <v>34</v>
      </c>
      <c r="F3" s="93" t="n">
        <f aca="false">Summary!D7</f>
        <v>234.05</v>
      </c>
    </row>
    <row r="4" customFormat="false" ht="12.75" hidden="false" customHeight="true" outlineLevel="0" collapsed="false">
      <c r="B4" s="1" t="s">
        <v>77</v>
      </c>
      <c r="F4" s="94" t="n">
        <v>10.6649121982482</v>
      </c>
    </row>
    <row r="5" customFormat="false" ht="12.75" hidden="false" customHeight="true" outlineLevel="0" collapsed="false">
      <c r="B5" s="47" t="s">
        <v>36</v>
      </c>
      <c r="C5" s="47"/>
      <c r="D5" s="47"/>
      <c r="E5" s="47"/>
      <c r="F5" s="95" t="n">
        <f aca="false">F3*F4</f>
        <v>2496.12269999999</v>
      </c>
    </row>
    <row r="6" customFormat="false" ht="12.75" hidden="false" customHeight="true" outlineLevel="0" collapsed="false">
      <c r="B6" s="1" t="s">
        <v>78</v>
      </c>
      <c r="F6" s="46" t="n">
        <f aca="false">F7-F5</f>
        <v>66.390000000009</v>
      </c>
    </row>
    <row r="7" customFormat="false" ht="12.75" hidden="false" customHeight="true" outlineLevel="0" collapsed="false">
      <c r="B7" s="47" t="s">
        <v>40</v>
      </c>
      <c r="C7" s="47"/>
      <c r="D7" s="47"/>
      <c r="E7" s="47"/>
      <c r="F7" s="95" t="n">
        <v>2562.5127</v>
      </c>
    </row>
    <row r="8" s="43" customFormat="true" ht="12.75" hidden="false" customHeight="true" outlineLevel="0" collapsed="false">
      <c r="B8" s="43" t="s">
        <v>5</v>
      </c>
      <c r="C8" s="96"/>
      <c r="D8" s="96"/>
      <c r="E8" s="96"/>
      <c r="F8" s="51" t="n">
        <f aca="false">F7/E53</f>
        <v>15.4065672234046</v>
      </c>
    </row>
    <row r="9" s="43" customFormat="true" ht="12.75" hidden="false" customHeight="true" outlineLevel="0" collapsed="false">
      <c r="B9" s="43" t="s">
        <v>6</v>
      </c>
      <c r="C9" s="96"/>
      <c r="D9" s="96"/>
      <c r="E9" s="96"/>
      <c r="F9" s="51" t="n">
        <f aca="false">F7/F53</f>
        <v>12.8820622257077</v>
      </c>
    </row>
    <row r="10" customFormat="false" ht="12.75" hidden="false" customHeight="true" outlineLevel="0" collapsed="false">
      <c r="B10" s="47"/>
      <c r="C10" s="47"/>
      <c r="D10" s="47"/>
      <c r="E10" s="47"/>
      <c r="F10" s="97"/>
    </row>
    <row r="11" customFormat="false" ht="15.75" hidden="false" customHeight="true" outlineLevel="0" collapsed="false">
      <c r="A11" s="49" t="n">
        <f aca="false">Summary!G7</f>
        <v>47848</v>
      </c>
      <c r="B11" s="3" t="s">
        <v>79</v>
      </c>
      <c r="C11" s="3"/>
      <c r="D11" s="3"/>
      <c r="E11" s="3"/>
      <c r="F11" s="3"/>
    </row>
    <row r="12" customFormat="false" ht="12.75" hidden="false" customHeight="true" outlineLevel="0" collapsed="false">
      <c r="B12" s="1" t="s">
        <v>80</v>
      </c>
      <c r="C12" s="47"/>
      <c r="D12" s="47"/>
      <c r="E12" s="47"/>
      <c r="F12" s="98" t="n">
        <f aca="false">J53</f>
        <v>384.004495314783</v>
      </c>
    </row>
    <row r="13" customFormat="false" ht="12.75" hidden="false" customHeight="true" outlineLevel="0" collapsed="false">
      <c r="B13" s="1" t="s">
        <v>8</v>
      </c>
      <c r="C13" s="47"/>
      <c r="D13" s="47"/>
      <c r="E13" s="47"/>
      <c r="F13" s="99" t="n">
        <f aca="false">Summary!H7</f>
        <v>15</v>
      </c>
    </row>
    <row r="14" customFormat="false" ht="12.75" hidden="false" customHeight="true" outlineLevel="0" collapsed="false">
      <c r="B14" s="47" t="s">
        <v>40</v>
      </c>
      <c r="C14" s="47"/>
      <c r="D14" s="47"/>
      <c r="E14" s="47"/>
      <c r="F14" s="95" t="n">
        <f aca="false">F12*F13</f>
        <v>5760.06742972174</v>
      </c>
    </row>
    <row r="15" customFormat="false" ht="12.75" hidden="false" customHeight="true" outlineLevel="0" collapsed="false">
      <c r="B15" s="1" t="s">
        <v>81</v>
      </c>
      <c r="C15" s="47"/>
      <c r="D15" s="47"/>
      <c r="E15" s="47"/>
      <c r="F15" s="46" t="n">
        <f aca="false">-F6</f>
        <v>-66.390000000009</v>
      </c>
    </row>
    <row r="16" customFormat="false" ht="12.75" hidden="false" customHeight="true" outlineLevel="0" collapsed="false">
      <c r="B16" s="1" t="s">
        <v>46</v>
      </c>
      <c r="C16" s="47"/>
      <c r="D16" s="47"/>
      <c r="E16" s="47"/>
      <c r="F16" s="46" t="n">
        <f aca="false">F32</f>
        <v>767.50140937113</v>
      </c>
    </row>
    <row r="17" customFormat="false" ht="12.75" hidden="false" customHeight="true" outlineLevel="0" collapsed="false">
      <c r="B17" s="47" t="s">
        <v>36</v>
      </c>
      <c r="C17" s="47"/>
      <c r="D17" s="47"/>
      <c r="E17" s="47"/>
      <c r="F17" s="48" t="n">
        <f aca="false">SUM(F14:F16)</f>
        <v>6461.17883909286</v>
      </c>
    </row>
    <row r="18" customFormat="false" ht="12.75" hidden="false" customHeight="true" outlineLevel="0" collapsed="false">
      <c r="B18" s="1" t="s">
        <v>47</v>
      </c>
      <c r="C18" s="47"/>
      <c r="D18" s="47"/>
      <c r="E18" s="47"/>
      <c r="F18" s="46" t="n">
        <f aca="false">F4</f>
        <v>10.6649121982482</v>
      </c>
    </row>
    <row r="19" customFormat="false" ht="12.75" hidden="false" customHeight="true" outlineLevel="0" collapsed="false">
      <c r="B19" s="47" t="s">
        <v>48</v>
      </c>
      <c r="C19" s="47"/>
      <c r="D19" s="47"/>
      <c r="E19" s="47"/>
      <c r="F19" s="100" t="n">
        <f aca="false">F17/F18</f>
        <v>605.835164789651</v>
      </c>
    </row>
    <row r="20" customFormat="false" ht="12.75" hidden="false" customHeight="true" outlineLevel="0" collapsed="false">
      <c r="B20" s="47"/>
      <c r="C20" s="47"/>
      <c r="D20" s="47"/>
      <c r="E20" s="47"/>
      <c r="F20" s="97"/>
    </row>
    <row r="21" customFormat="false" ht="12.75" hidden="false" customHeight="true" outlineLevel="0" collapsed="false">
      <c r="B21" s="45" t="s">
        <v>49</v>
      </c>
      <c r="C21" s="56"/>
      <c r="D21" s="47"/>
      <c r="E21" s="47"/>
      <c r="F21" s="97"/>
    </row>
    <row r="22" customFormat="false" ht="12.75" hidden="false" customHeight="true" outlineLevel="0" collapsed="false">
      <c r="B22" s="1" t="s">
        <v>50</v>
      </c>
      <c r="C22" s="57"/>
      <c r="D22" s="47"/>
      <c r="E22" s="47"/>
      <c r="F22" s="57" t="n">
        <f aca="false">F19/F3-1</f>
        <v>1.58848607045354</v>
      </c>
    </row>
    <row r="23" customFormat="false" ht="12.75" hidden="false" customHeight="true" outlineLevel="0" collapsed="false">
      <c r="B23" s="1" t="s">
        <v>10</v>
      </c>
      <c r="C23" s="58"/>
      <c r="D23" s="47"/>
      <c r="E23" s="47"/>
      <c r="F23" s="58" t="n">
        <f aca="false">F19/F3</f>
        <v>2.58848607045354</v>
      </c>
    </row>
    <row r="24" customFormat="false" ht="12.75" hidden="false" customHeight="true" outlineLevel="0" collapsed="false">
      <c r="A24" s="59" t="n">
        <f aca="false">(A11-A2)/365</f>
        <v>5.29041095890411</v>
      </c>
      <c r="B24" s="47" t="s">
        <v>9</v>
      </c>
      <c r="C24" s="60"/>
      <c r="D24" s="47"/>
      <c r="E24" s="47"/>
      <c r="F24" s="60" t="n">
        <f aca="false">F23^(1/A24)-1</f>
        <v>0.196945654291749</v>
      </c>
    </row>
    <row r="25" customFormat="false" ht="12.75" hidden="false" customHeight="true" outlineLevel="0" collapsed="false">
      <c r="B25" s="47"/>
      <c r="C25" s="47"/>
      <c r="D25" s="47"/>
      <c r="E25" s="47"/>
      <c r="F25" s="97"/>
    </row>
    <row r="26" customFormat="false" ht="12.75" hidden="false" customHeight="true" outlineLevel="0" collapsed="false">
      <c r="B26" s="47" t="s">
        <v>51</v>
      </c>
      <c r="C26" s="47"/>
      <c r="D26" s="47"/>
      <c r="E26" s="47"/>
      <c r="F26" s="97"/>
    </row>
    <row r="27" customFormat="false" ht="12.75" hidden="false" customHeight="true" outlineLevel="0" collapsed="false">
      <c r="B27" s="1" t="s">
        <v>54</v>
      </c>
      <c r="C27" s="47"/>
      <c r="D27" s="47"/>
      <c r="E27" s="47"/>
      <c r="F27" s="98" t="n">
        <f aca="false">SUM(F53:J53)</f>
        <v>1418.23066352348</v>
      </c>
    </row>
    <row r="28" customFormat="false" ht="12.75" hidden="false" customHeight="true" outlineLevel="0" collapsed="false">
      <c r="A28" s="62"/>
      <c r="B28" s="1" t="s">
        <v>53</v>
      </c>
      <c r="C28" s="47"/>
      <c r="D28" s="47"/>
      <c r="E28" s="47"/>
      <c r="F28" s="46" t="n">
        <f aca="false">SUM(F57:J57)</f>
        <v>635.636</v>
      </c>
    </row>
    <row r="29" customFormat="false" ht="12.75" hidden="false" customHeight="true" outlineLevel="0" collapsed="false">
      <c r="A29" s="101" t="n">
        <v>2.5</v>
      </c>
      <c r="B29" s="1" t="s">
        <v>82</v>
      </c>
      <c r="C29" s="47"/>
      <c r="D29" s="47"/>
      <c r="E29" s="47"/>
      <c r="F29" s="46" t="n">
        <f aca="false">A29*5</f>
        <v>12.5</v>
      </c>
    </row>
    <row r="30" customFormat="false" ht="12.75" hidden="false" customHeight="true" outlineLevel="0" collapsed="false">
      <c r="A30" s="101"/>
      <c r="B30" s="1" t="s">
        <v>83</v>
      </c>
      <c r="C30" s="47"/>
      <c r="D30" s="47"/>
      <c r="E30" s="47"/>
      <c r="F30" s="46" t="n">
        <f aca="false">SUM(F60:J60)</f>
        <v>559.9697878</v>
      </c>
    </row>
    <row r="31" customFormat="false" ht="12.75" hidden="false" customHeight="true" outlineLevel="0" collapsed="false">
      <c r="A31" s="62" t="n">
        <v>0.1</v>
      </c>
      <c r="B31" s="1" t="s">
        <v>84</v>
      </c>
      <c r="C31" s="47"/>
      <c r="D31" s="47"/>
      <c r="E31" s="47"/>
      <c r="F31" s="46" t="n">
        <f aca="false">(F27-F28)*A31</f>
        <v>78.2594663523478</v>
      </c>
    </row>
    <row r="32" customFormat="false" ht="12.75" hidden="false" customHeight="true" outlineLevel="0" collapsed="false">
      <c r="A32" s="101"/>
      <c r="B32" s="47" t="s">
        <v>58</v>
      </c>
      <c r="C32" s="47"/>
      <c r="D32" s="47"/>
      <c r="E32" s="47"/>
      <c r="F32" s="48" t="n">
        <f aca="false">F27-SUM(F29:F31)</f>
        <v>767.50140937113</v>
      </c>
    </row>
    <row r="34" customFormat="false" ht="12.75" hidden="false" customHeight="true" outlineLevel="0" collapsed="false">
      <c r="K34" s="102" t="s">
        <v>85</v>
      </c>
    </row>
    <row r="35" customFormat="false" ht="15.75" hidden="false" customHeight="true" outlineLevel="0" collapsed="false">
      <c r="C35" s="4" t="s">
        <v>86</v>
      </c>
      <c r="D35" s="4" t="s">
        <v>87</v>
      </c>
      <c r="E35" s="2" t="s">
        <v>88</v>
      </c>
      <c r="F35" s="4" t="s">
        <v>89</v>
      </c>
      <c r="G35" s="4" t="s">
        <v>90</v>
      </c>
      <c r="H35" s="4" t="s">
        <v>91</v>
      </c>
      <c r="I35" s="4" t="s">
        <v>92</v>
      </c>
      <c r="J35" s="4" t="s">
        <v>93</v>
      </c>
      <c r="K35" s="103" t="s">
        <v>94</v>
      </c>
    </row>
    <row r="36" customFormat="false" ht="15.75" hidden="false" customHeight="true" outlineLevel="0" collapsed="false">
      <c r="B36" s="45" t="s">
        <v>24</v>
      </c>
      <c r="C36" s="4"/>
      <c r="D36" s="4"/>
      <c r="E36" s="2"/>
      <c r="F36" s="4"/>
      <c r="G36" s="4"/>
      <c r="H36" s="4"/>
      <c r="I36" s="4"/>
      <c r="J36" s="4"/>
      <c r="K36" s="103"/>
    </row>
    <row r="37" customFormat="false" ht="12.75" hidden="true" customHeight="true" outlineLevel="1" collapsed="false">
      <c r="B37" s="1" t="s">
        <v>95</v>
      </c>
      <c r="C37" s="104" t="n">
        <v>353</v>
      </c>
      <c r="D37" s="104" t="n">
        <v>388</v>
      </c>
      <c r="E37" s="105"/>
      <c r="F37" s="104"/>
      <c r="G37" s="104"/>
      <c r="H37" s="106"/>
      <c r="I37" s="106"/>
      <c r="J37" s="106"/>
      <c r="K37" s="107"/>
    </row>
    <row r="38" customFormat="false" ht="12.75" hidden="true" customHeight="true" outlineLevel="1" collapsed="false">
      <c r="B38" s="1" t="s">
        <v>96</v>
      </c>
      <c r="C38" s="104" t="n">
        <v>131</v>
      </c>
      <c r="D38" s="104" t="n">
        <v>143</v>
      </c>
      <c r="E38" s="105"/>
      <c r="F38" s="104"/>
      <c r="G38" s="104"/>
      <c r="H38" s="106"/>
      <c r="I38" s="106"/>
      <c r="J38" s="106"/>
      <c r="K38" s="107"/>
    </row>
    <row r="39" customFormat="false" ht="12.75" hidden="true" customHeight="true" outlineLevel="1" collapsed="false">
      <c r="B39" s="1" t="s">
        <v>97</v>
      </c>
      <c r="C39" s="104" t="n">
        <v>91</v>
      </c>
      <c r="D39" s="104" t="n">
        <v>108</v>
      </c>
      <c r="E39" s="105"/>
      <c r="F39" s="104"/>
      <c r="G39" s="104"/>
      <c r="H39" s="106"/>
      <c r="I39" s="106"/>
      <c r="J39" s="106"/>
      <c r="K39" s="107"/>
    </row>
    <row r="40" customFormat="false" ht="12.75" hidden="false" customHeight="true" outlineLevel="0" collapsed="false">
      <c r="B40" s="47" t="s">
        <v>98</v>
      </c>
      <c r="C40" s="108" t="n">
        <f aca="false">SUM(C37:C39)</f>
        <v>575</v>
      </c>
      <c r="D40" s="108" t="n">
        <f aca="false">SUM(D37:D39)</f>
        <v>639</v>
      </c>
      <c r="E40" s="109" t="n">
        <v>708.046</v>
      </c>
      <c r="F40" s="108" t="n">
        <v>779.6</v>
      </c>
      <c r="G40" s="108" t="n">
        <v>861.758</v>
      </c>
      <c r="H40" s="108" t="n">
        <f aca="false">G40*(1+H41)</f>
        <v>947.9338</v>
      </c>
      <c r="I40" s="108" t="n">
        <f aca="false">H40*(1+I41)</f>
        <v>1042.72718</v>
      </c>
      <c r="J40" s="108" t="n">
        <f aca="false">I40*(1+J41)</f>
        <v>1146.999898</v>
      </c>
      <c r="K40" s="110" t="n">
        <f aca="false">(J40/E40)^(1/5)-1</f>
        <v>0.101286666404477</v>
      </c>
    </row>
    <row r="41" customFormat="false" ht="12.75" hidden="false" customHeight="true" outlineLevel="0" collapsed="false">
      <c r="B41" s="1" t="s">
        <v>99</v>
      </c>
      <c r="D41" s="57" t="n">
        <f aca="false">D40/C40-1</f>
        <v>0.111304347826087</v>
      </c>
      <c r="E41" s="111" t="n">
        <f aca="false">E40/D40-1</f>
        <v>0.108053208137715</v>
      </c>
      <c r="F41" s="57" t="n">
        <f aca="false">F40/E40-1</f>
        <v>0.101058405809792</v>
      </c>
      <c r="G41" s="57" t="n">
        <f aca="false">G40/F40-1</f>
        <v>0.105384812724474</v>
      </c>
      <c r="H41" s="112" t="n">
        <v>0.1</v>
      </c>
      <c r="I41" s="112" t="n">
        <v>0.1</v>
      </c>
      <c r="J41" s="112" t="n">
        <v>0.1</v>
      </c>
      <c r="K41" s="113"/>
    </row>
    <row r="42" customFormat="false" ht="15.75" hidden="false" customHeight="true" outlineLevel="0" collapsed="false">
      <c r="C42" s="44"/>
      <c r="D42" s="44"/>
      <c r="E42" s="114"/>
      <c r="F42" s="44"/>
      <c r="G42" s="44"/>
      <c r="H42" s="44"/>
      <c r="I42" s="44"/>
      <c r="J42" s="44"/>
      <c r="K42" s="113"/>
    </row>
    <row r="43" customFormat="false" ht="15.75" hidden="true" customHeight="true" outlineLevel="1" collapsed="false">
      <c r="B43" s="45" t="s">
        <v>100</v>
      </c>
      <c r="C43" s="4"/>
      <c r="D43" s="4"/>
      <c r="E43" s="2"/>
      <c r="F43" s="4"/>
      <c r="G43" s="4"/>
      <c r="H43" s="4"/>
      <c r="I43" s="4"/>
      <c r="J43" s="4"/>
      <c r="K43" s="103"/>
    </row>
    <row r="44" customFormat="false" ht="12.75" hidden="true" customHeight="true" outlineLevel="1" collapsed="false">
      <c r="B44" s="1" t="s">
        <v>95</v>
      </c>
      <c r="C44" s="104" t="n">
        <v>15</v>
      </c>
      <c r="D44" s="104" t="n">
        <v>25</v>
      </c>
      <c r="E44" s="105"/>
      <c r="F44" s="104"/>
      <c r="G44" s="104"/>
      <c r="H44" s="106"/>
      <c r="I44" s="106"/>
      <c r="J44" s="106"/>
      <c r="K44" s="107"/>
    </row>
    <row r="45" customFormat="false" ht="12.75" hidden="true" customHeight="true" outlineLevel="1" collapsed="false">
      <c r="B45" s="1" t="s">
        <v>96</v>
      </c>
      <c r="C45" s="104" t="n">
        <v>-3</v>
      </c>
      <c r="D45" s="104" t="n">
        <v>4</v>
      </c>
      <c r="E45" s="105"/>
      <c r="F45" s="104"/>
      <c r="G45" s="104"/>
      <c r="H45" s="106"/>
      <c r="I45" s="106"/>
      <c r="J45" s="106"/>
      <c r="K45" s="107"/>
    </row>
    <row r="46" customFormat="false" ht="12.75" hidden="true" customHeight="true" outlineLevel="1" collapsed="false">
      <c r="B46" s="1" t="s">
        <v>97</v>
      </c>
      <c r="C46" s="104" t="n">
        <v>25</v>
      </c>
      <c r="D46" s="104" t="n">
        <v>40</v>
      </c>
      <c r="E46" s="105"/>
      <c r="F46" s="104"/>
      <c r="G46" s="104"/>
      <c r="H46" s="106"/>
      <c r="I46" s="106"/>
      <c r="J46" s="106"/>
      <c r="K46" s="107"/>
    </row>
    <row r="47" customFormat="false" ht="12.75" hidden="true" customHeight="true" outlineLevel="1" collapsed="false">
      <c r="B47" s="47" t="s">
        <v>98</v>
      </c>
      <c r="C47" s="108" t="n">
        <f aca="false">SUM(C44:C46)</f>
        <v>37</v>
      </c>
      <c r="D47" s="108" t="n">
        <f aca="false">SUM(D44:D46)</f>
        <v>69</v>
      </c>
      <c r="E47" s="109"/>
      <c r="F47" s="108"/>
      <c r="G47" s="108"/>
      <c r="H47" s="108"/>
      <c r="I47" s="108"/>
      <c r="J47" s="108"/>
      <c r="K47" s="110"/>
    </row>
    <row r="48" customFormat="false" ht="15.75" hidden="true" customHeight="true" outlineLevel="1" collapsed="false">
      <c r="C48" s="44"/>
      <c r="D48" s="44"/>
      <c r="E48" s="114"/>
      <c r="F48" s="44"/>
      <c r="G48" s="44"/>
      <c r="H48" s="44"/>
      <c r="I48" s="44"/>
      <c r="J48" s="44"/>
      <c r="K48" s="113"/>
    </row>
    <row r="49" customFormat="false" ht="15.75" hidden="false" customHeight="true" outlineLevel="0" collapsed="false">
      <c r="B49" s="45" t="s">
        <v>71</v>
      </c>
      <c r="C49" s="44"/>
      <c r="D49" s="44"/>
      <c r="E49" s="114"/>
      <c r="F49" s="44"/>
      <c r="G49" s="44"/>
      <c r="H49" s="44"/>
      <c r="I49" s="44"/>
      <c r="J49" s="44"/>
      <c r="K49" s="113"/>
    </row>
    <row r="50" customFormat="false" ht="12.75" hidden="false" customHeight="true" outlineLevel="0" collapsed="false">
      <c r="B50" s="1" t="s">
        <v>95</v>
      </c>
      <c r="C50" s="106" t="n">
        <f aca="false">C44/C$47*C$53</f>
        <v>34.6682432432432</v>
      </c>
      <c r="D50" s="106" t="n">
        <f aca="false">D44/D$47*D$53</f>
        <v>43.6478260869565</v>
      </c>
      <c r="E50" s="115" t="n">
        <f aca="false">D50*(1+E64)</f>
        <v>54.5597826086957</v>
      </c>
      <c r="F50" s="106" t="n">
        <f aca="false">E50*(1+F64)</f>
        <v>62.74375</v>
      </c>
      <c r="G50" s="106" t="n">
        <f aca="false">F50*(1+G64)</f>
        <v>72.1553125</v>
      </c>
      <c r="H50" s="106" t="n">
        <f aca="false">G50*(1+H64)</f>
        <v>82.978609375</v>
      </c>
      <c r="I50" s="106" t="n">
        <f aca="false">H50*(1+I64)</f>
        <v>95.42540078125</v>
      </c>
      <c r="J50" s="106" t="n">
        <f aca="false">I50*(1+J64)</f>
        <v>109.739210898437</v>
      </c>
      <c r="K50" s="107"/>
    </row>
    <row r="51" customFormat="false" ht="12.75" hidden="false" customHeight="true" outlineLevel="0" collapsed="false">
      <c r="B51" s="1" t="s">
        <v>96</v>
      </c>
      <c r="C51" s="106" t="n">
        <f aca="false">C45/C$47*C$53</f>
        <v>-6.93364864864865</v>
      </c>
      <c r="D51" s="106" t="n">
        <f aca="false">D45/D$47*D$53</f>
        <v>6.98365217391304</v>
      </c>
      <c r="E51" s="115" t="n">
        <f aca="false">E53-E52-E50</f>
        <v>17.4869130434783</v>
      </c>
      <c r="F51" s="106" t="n">
        <f aca="false">F53-F52-F50</f>
        <v>23.0420847826087</v>
      </c>
      <c r="G51" s="106" t="n">
        <f aca="false">G53-G52-G50</f>
        <v>26.0824892391305</v>
      </c>
      <c r="H51" s="106" t="n">
        <f aca="false">G51*(1+H65)</f>
        <v>29.994862625</v>
      </c>
      <c r="I51" s="106" t="n">
        <f aca="false">H51*(1+I65)</f>
        <v>34.49409201875</v>
      </c>
      <c r="J51" s="106" t="n">
        <f aca="false">I51*(1+J65)</f>
        <v>39.6682058215625</v>
      </c>
      <c r="K51" s="107"/>
    </row>
    <row r="52" customFormat="false" ht="12.75" hidden="false" customHeight="true" outlineLevel="0" collapsed="false">
      <c r="B52" s="1" t="s">
        <v>97</v>
      </c>
      <c r="C52" s="106" t="n">
        <f aca="false">C46/C$47*C$53</f>
        <v>57.7804054054054</v>
      </c>
      <c r="D52" s="106" t="n">
        <f aca="false">D46/D$47*D$53</f>
        <v>69.8365217391304</v>
      </c>
      <c r="E52" s="115" t="n">
        <f aca="false">D52*(1+E66)</f>
        <v>94.2793043478261</v>
      </c>
      <c r="F52" s="106" t="n">
        <f aca="false">E52*(1+F66)</f>
        <v>113.135165217391</v>
      </c>
      <c r="G52" s="106" t="n">
        <f aca="false">F52*(1+G66)</f>
        <v>135.76219826087</v>
      </c>
      <c r="H52" s="106" t="n">
        <f aca="false">G52*(1+H66)</f>
        <v>162.914637913043</v>
      </c>
      <c r="I52" s="106" t="n">
        <f aca="false">H52*(1+I66)</f>
        <v>195.497565495652</v>
      </c>
      <c r="J52" s="106" t="n">
        <f aca="false">I52*(1+J66)</f>
        <v>234.597078594783</v>
      </c>
      <c r="K52" s="107"/>
    </row>
    <row r="53" customFormat="false" ht="12.75" hidden="false" customHeight="true" outlineLevel="0" collapsed="false">
      <c r="B53" s="47" t="s">
        <v>98</v>
      </c>
      <c r="C53" s="116" t="n">
        <v>85.515</v>
      </c>
      <c r="D53" s="116" t="n">
        <v>120.468</v>
      </c>
      <c r="E53" s="117" t="n">
        <v>166.326</v>
      </c>
      <c r="F53" s="116" t="n">
        <v>198.921</v>
      </c>
      <c r="G53" s="116" t="n">
        <v>234</v>
      </c>
      <c r="H53" s="108" t="n">
        <f aca="false">SUM(H50:H52)</f>
        <v>275.888109913044</v>
      </c>
      <c r="I53" s="108" t="n">
        <f aca="false">SUM(I50:I52)</f>
        <v>325.417058295652</v>
      </c>
      <c r="J53" s="108" t="n">
        <f aca="false">SUM(J50:J52)</f>
        <v>384.004495314783</v>
      </c>
      <c r="K53" s="110" t="n">
        <f aca="false">(J53/E53)^(1/5)-1</f>
        <v>0.182157203737829</v>
      </c>
    </row>
    <row r="54" customFormat="false" ht="12.75" hidden="false" customHeight="true" outlineLevel="0" collapsed="false">
      <c r="B54" s="1" t="s">
        <v>99</v>
      </c>
      <c r="D54" s="57" t="n">
        <f aca="false">D53/C53-1</f>
        <v>0.408735309594808</v>
      </c>
      <c r="E54" s="111" t="n">
        <f aca="false">E53/D53-1</f>
        <v>0.380665404920809</v>
      </c>
      <c r="F54" s="57" t="n">
        <f aca="false">F53/E53-1</f>
        <v>0.195970563832474</v>
      </c>
      <c r="G54" s="57" t="n">
        <f aca="false">G53/F53-1</f>
        <v>0.1763463887674</v>
      </c>
      <c r="H54" s="57" t="n">
        <f aca="false">H53/G53-1</f>
        <v>0.179009016722408</v>
      </c>
      <c r="I54" s="57" t="n">
        <f aca="false">I53/H53-1</f>
        <v>0.179525490961606</v>
      </c>
      <c r="J54" s="57" t="n">
        <f aca="false">J53/I53-1</f>
        <v>0.180038002082551</v>
      </c>
      <c r="K54" s="113"/>
    </row>
    <row r="55" customFormat="false" ht="12.75" hidden="false" customHeight="true" outlineLevel="0" collapsed="false">
      <c r="B55" s="1" t="s">
        <v>101</v>
      </c>
      <c r="C55" s="57" t="n">
        <f aca="false">C53/C40</f>
        <v>0.148721739130435</v>
      </c>
      <c r="D55" s="57" t="n">
        <f aca="false">D53/D40</f>
        <v>0.188525821596244</v>
      </c>
      <c r="E55" s="111" t="n">
        <f aca="false">E53/E40</f>
        <v>0.234908466399076</v>
      </c>
      <c r="F55" s="57" t="n">
        <f aca="false">F53/F40</f>
        <v>0.255157773217034</v>
      </c>
      <c r="G55" s="57" t="n">
        <f aca="false">G53/G40</f>
        <v>0.271537949169024</v>
      </c>
      <c r="H55" s="57" t="n">
        <f aca="false">H53/H40</f>
        <v>0.291041536775082</v>
      </c>
      <c r="I55" s="57" t="n">
        <f aca="false">I53/I40</f>
        <v>0.312082646868045</v>
      </c>
      <c r="J55" s="57" t="n">
        <f aca="false">J53/J40</f>
        <v>0.334790348268002</v>
      </c>
      <c r="K55" s="113"/>
    </row>
    <row r="56" customFormat="false" ht="12.75" hidden="false" customHeight="true" outlineLevel="0" collapsed="false">
      <c r="E56" s="118"/>
      <c r="K56" s="113"/>
    </row>
    <row r="57" customFormat="false" ht="12.75" hidden="false" customHeight="true" outlineLevel="0" collapsed="false">
      <c r="B57" s="1" t="s">
        <v>72</v>
      </c>
      <c r="C57" s="104" t="n">
        <v>48.515</v>
      </c>
      <c r="D57" s="104" t="n">
        <v>51.468</v>
      </c>
      <c r="E57" s="105" t="n">
        <v>85.326</v>
      </c>
      <c r="F57" s="104" t="n">
        <v>101.921</v>
      </c>
      <c r="G57" s="104" t="n">
        <v>115</v>
      </c>
      <c r="H57" s="106" t="n">
        <f aca="false">H58*H40</f>
        <v>126.5</v>
      </c>
      <c r="I57" s="106" t="n">
        <f aca="false">I58*I40</f>
        <v>139.15</v>
      </c>
      <c r="J57" s="106" t="n">
        <f aca="false">J58*J40</f>
        <v>153.065</v>
      </c>
      <c r="K57" s="107" t="n">
        <f aca="false">(J57/E57)^(1/5)-1</f>
        <v>0.123980823779447</v>
      </c>
    </row>
    <row r="58" customFormat="false" ht="12.75" hidden="false" customHeight="true" outlineLevel="0" collapsed="false">
      <c r="B58" s="1" t="s">
        <v>102</v>
      </c>
      <c r="C58" s="57" t="n">
        <f aca="false">C57/C40</f>
        <v>0.0843739130434783</v>
      </c>
      <c r="D58" s="57" t="n">
        <f aca="false">D57/D40</f>
        <v>0.0805446009389672</v>
      </c>
      <c r="E58" s="111" t="n">
        <f aca="false">E57/E40</f>
        <v>0.12050911946399</v>
      </c>
      <c r="F58" s="57" t="n">
        <f aca="false">F57/F40</f>
        <v>0.130734992303746</v>
      </c>
      <c r="G58" s="57" t="n">
        <f aca="false">G57/G40</f>
        <v>0.133448137412127</v>
      </c>
      <c r="H58" s="57" t="n">
        <f aca="false">G58</f>
        <v>0.133448137412127</v>
      </c>
      <c r="I58" s="57" t="n">
        <f aca="false">H58</f>
        <v>0.133448137412127</v>
      </c>
      <c r="J58" s="57" t="n">
        <f aca="false">I58</f>
        <v>0.133448137412127</v>
      </c>
      <c r="K58" s="113"/>
    </row>
    <row r="59" customFormat="false" ht="12.75" hidden="false" customHeight="true" outlineLevel="0" collapsed="false">
      <c r="E59" s="118"/>
      <c r="K59" s="113"/>
    </row>
    <row r="60" customFormat="false" ht="12.75" hidden="false" customHeight="true" outlineLevel="0" collapsed="false">
      <c r="B60" s="1" t="s">
        <v>103</v>
      </c>
      <c r="C60" s="104" t="n">
        <v>53</v>
      </c>
      <c r="D60" s="104" t="n">
        <v>83</v>
      </c>
      <c r="E60" s="105" t="n">
        <v>110</v>
      </c>
      <c r="F60" s="106" t="n">
        <f aca="false">F61*F40</f>
        <v>116.94</v>
      </c>
      <c r="G60" s="106" t="n">
        <f aca="false">G61*G40</f>
        <v>129.2637</v>
      </c>
      <c r="H60" s="106" t="n">
        <f aca="false">H61*H40</f>
        <v>94.79338</v>
      </c>
      <c r="I60" s="106" t="n">
        <f aca="false">I61*I40</f>
        <v>104.272718</v>
      </c>
      <c r="J60" s="106" t="n">
        <f aca="false">J61*J40</f>
        <v>114.6999898</v>
      </c>
      <c r="K60" s="107" t="n">
        <f aca="false">(J60/E60)^(1/5)-1</f>
        <v>0.00840302273538818</v>
      </c>
    </row>
    <row r="61" customFormat="false" ht="12.75" hidden="false" customHeight="true" outlineLevel="0" collapsed="false">
      <c r="B61" s="1" t="s">
        <v>102</v>
      </c>
      <c r="C61" s="57" t="n">
        <f aca="false">C60/C40</f>
        <v>0.0921739130434783</v>
      </c>
      <c r="D61" s="57" t="n">
        <f aca="false">D60/D40</f>
        <v>0.129890453834116</v>
      </c>
      <c r="E61" s="111" t="n">
        <f aca="false">E60/E40</f>
        <v>0.15535713781308</v>
      </c>
      <c r="F61" s="112" t="n">
        <v>0.15</v>
      </c>
      <c r="G61" s="112" t="n">
        <v>0.15</v>
      </c>
      <c r="H61" s="112" t="n">
        <v>0.1</v>
      </c>
      <c r="I61" s="112" t="n">
        <v>0.1</v>
      </c>
      <c r="J61" s="112" t="n">
        <v>0.1</v>
      </c>
      <c r="K61" s="113"/>
    </row>
    <row r="62" customFormat="false" ht="12.75" hidden="false" customHeight="true" outlineLevel="0" collapsed="false">
      <c r="E62" s="118"/>
      <c r="J62" s="118"/>
    </row>
    <row r="63" customFormat="false" ht="12.75" hidden="false" customHeight="true" outlineLevel="0" collapsed="false">
      <c r="B63" s="45" t="s">
        <v>104</v>
      </c>
      <c r="E63" s="118"/>
      <c r="J63" s="118"/>
    </row>
    <row r="64" customFormat="false" ht="12.75" hidden="false" customHeight="true" outlineLevel="0" collapsed="false">
      <c r="B64" s="1" t="s">
        <v>95</v>
      </c>
      <c r="D64" s="57" t="n">
        <f aca="false">D50/C50-1</f>
        <v>0.259014648671688</v>
      </c>
      <c r="E64" s="119" t="n">
        <v>0.25</v>
      </c>
      <c r="F64" s="112" t="n">
        <v>0.15</v>
      </c>
      <c r="G64" s="112" t="n">
        <v>0.15</v>
      </c>
      <c r="H64" s="112" t="n">
        <v>0.15</v>
      </c>
      <c r="I64" s="112" t="n">
        <v>0.15</v>
      </c>
      <c r="J64" s="119" t="n">
        <v>0.15</v>
      </c>
    </row>
    <row r="65" customFormat="false" ht="12.75" hidden="false" customHeight="true" outlineLevel="0" collapsed="false">
      <c r="B65" s="1" t="s">
        <v>96</v>
      </c>
      <c r="D65" s="57" t="n">
        <f aca="false">-D51/C51-1</f>
        <v>0.00721171893735062</v>
      </c>
      <c r="E65" s="111" t="n">
        <f aca="false">E51/D51-1</f>
        <v>1.50397823488395</v>
      </c>
      <c r="F65" s="57" t="n">
        <f aca="false">F51/E51-1</f>
        <v>0.317675951456866</v>
      </c>
      <c r="G65" s="57" t="n">
        <f aca="false">G51/F51-1</f>
        <v>0.131950059432841</v>
      </c>
      <c r="H65" s="112" t="n">
        <v>0.15</v>
      </c>
      <c r="I65" s="112" t="n">
        <v>0.15</v>
      </c>
      <c r="J65" s="119" t="n">
        <v>0.15</v>
      </c>
    </row>
    <row r="66" customFormat="false" ht="12.75" hidden="false" customHeight="true" outlineLevel="0" collapsed="false">
      <c r="B66" s="1" t="s">
        <v>97</v>
      </c>
      <c r="D66" s="57" t="n">
        <f aca="false">D52/C52-1</f>
        <v>0.208654062724821</v>
      </c>
      <c r="E66" s="119" t="n">
        <v>0.35</v>
      </c>
      <c r="F66" s="112" t="n">
        <v>0.2</v>
      </c>
      <c r="G66" s="112" t="n">
        <v>0.2</v>
      </c>
      <c r="H66" s="112" t="n">
        <v>0.2</v>
      </c>
      <c r="I66" s="112" t="n">
        <v>0.2</v>
      </c>
      <c r="J66" s="119" t="n">
        <v>0.2</v>
      </c>
    </row>
    <row r="67" customFormat="false" ht="12.75" hidden="false" customHeight="true" outlineLevel="0" collapsed="false">
      <c r="B67" s="47" t="s">
        <v>98</v>
      </c>
      <c r="C67" s="67"/>
      <c r="D67" s="120" t="n">
        <f aca="false">D53/C53-1</f>
        <v>0.408735309594808</v>
      </c>
      <c r="E67" s="121" t="n">
        <f aca="false">E53/D53-1</f>
        <v>0.380665404920809</v>
      </c>
      <c r="F67" s="120" t="n">
        <f aca="false">F53/E53-1</f>
        <v>0.195970563832474</v>
      </c>
      <c r="G67" s="120" t="n">
        <f aca="false">G53/F53-1</f>
        <v>0.1763463887674</v>
      </c>
      <c r="H67" s="120" t="n">
        <f aca="false">H53/G53-1</f>
        <v>0.179009016722408</v>
      </c>
      <c r="I67" s="120" t="n">
        <f aca="false">I53/H53-1</f>
        <v>0.179525490961606</v>
      </c>
      <c r="J67" s="121" t="n">
        <f aca="false">J53/I53-1</f>
        <v>0.180038002082551</v>
      </c>
    </row>
  </sheetData>
  <mergeCells count="2">
    <mergeCell ref="B2:F2"/>
    <mergeCell ref="B11:F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7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56"/>
  <sheetViews>
    <sheetView showFormulas="false" showGridLines="false" showRowColHeaders="true" showZeros="true" rightToLeft="false" tabSelected="false" showOutlineSymbols="true" defaultGridColor="true" view="pageBreakPreview" topLeftCell="A1" colorId="64" zoomScale="75" zoomScaleNormal="91" zoomScalePageLayoutView="75" workbookViewId="0">
      <selection pane="topLeft" activeCell="B23" activeCellId="0" sqref="B23"/>
    </sheetView>
  </sheetViews>
  <sheetFormatPr defaultColWidth="9.00390625" defaultRowHeight="12.75" customHeight="true" zeroHeight="false" outlineLevelRow="0" outlineLevelCol="0"/>
  <cols>
    <col collapsed="false" customWidth="true" hidden="false" outlineLevel="0" max="1" min="1" style="1" width="10.17"/>
    <col collapsed="false" customWidth="true" hidden="false" outlineLevel="0" max="2" min="2" style="1" width="15.83"/>
    <col collapsed="false" customWidth="false" hidden="false" outlineLevel="0" max="4" min="3" style="1" width="9"/>
    <col collapsed="false" customWidth="true" hidden="false" outlineLevel="0" max="5" min="5" style="1" width="9.17"/>
    <col collapsed="false" customWidth="true" hidden="false" outlineLevel="0" max="6" min="6" style="1" width="9.66"/>
    <col collapsed="false" customWidth="false" hidden="false" outlineLevel="0" max="16384" min="7" style="1" width="9"/>
  </cols>
  <sheetData>
    <row r="2" customFormat="false" ht="15.75" hidden="false" customHeight="true" outlineLevel="0" collapsed="false">
      <c r="A2" s="49" t="n">
        <f aca="false">Summary!C8</f>
        <v>46113</v>
      </c>
      <c r="B2" s="3" t="s">
        <v>33</v>
      </c>
      <c r="C2" s="3"/>
      <c r="D2" s="3"/>
      <c r="E2" s="3"/>
      <c r="F2" s="3"/>
    </row>
    <row r="3" customFormat="false" ht="12.75" hidden="false" customHeight="true" outlineLevel="0" collapsed="false">
      <c r="B3" s="1" t="s">
        <v>34</v>
      </c>
      <c r="F3" s="93" t="n">
        <f aca="false">Summary!D8</f>
        <v>42.56</v>
      </c>
    </row>
    <row r="4" customFormat="false" ht="12.75" hidden="false" customHeight="true" outlineLevel="0" collapsed="false">
      <c r="B4" s="1" t="s">
        <v>77</v>
      </c>
      <c r="F4" s="122" t="n">
        <v>73.5</v>
      </c>
    </row>
    <row r="5" customFormat="false" ht="12.75" hidden="false" customHeight="true" outlineLevel="0" collapsed="false">
      <c r="B5" s="47" t="s">
        <v>36</v>
      </c>
      <c r="C5" s="47"/>
      <c r="D5" s="47"/>
      <c r="E5" s="47"/>
      <c r="F5" s="95" t="n">
        <f aca="false">F3*F4</f>
        <v>3128.16</v>
      </c>
    </row>
    <row r="6" customFormat="false" ht="12.75" hidden="false" customHeight="true" outlineLevel="0" collapsed="false">
      <c r="B6" s="1" t="s">
        <v>78</v>
      </c>
      <c r="F6" s="122" t="n">
        <v>3500</v>
      </c>
    </row>
    <row r="7" customFormat="false" ht="12.75" hidden="false" customHeight="true" outlineLevel="0" collapsed="false">
      <c r="B7" s="47" t="s">
        <v>40</v>
      </c>
      <c r="C7" s="47"/>
      <c r="D7" s="47"/>
      <c r="E7" s="47"/>
      <c r="F7" s="95" t="n">
        <v>8063.3</v>
      </c>
    </row>
    <row r="8" s="43" customFormat="true" ht="12.75" hidden="false" customHeight="true" outlineLevel="0" collapsed="false">
      <c r="B8" s="43" t="s">
        <v>5</v>
      </c>
      <c r="C8" s="96"/>
      <c r="D8" s="96"/>
      <c r="E8" s="96"/>
      <c r="F8" s="51" t="n">
        <f aca="false">F7/E41</f>
        <v>8.31268041237114</v>
      </c>
    </row>
    <row r="9" s="43" customFormat="true" ht="12.75" hidden="false" customHeight="true" outlineLevel="0" collapsed="false">
      <c r="B9" s="43" t="s">
        <v>6</v>
      </c>
      <c r="C9" s="96"/>
      <c r="D9" s="96"/>
      <c r="E9" s="96"/>
      <c r="F9" s="51" t="n">
        <f aca="false">F7/F41</f>
        <v>6.77588235294118</v>
      </c>
    </row>
    <row r="10" customFormat="false" ht="12.75" hidden="false" customHeight="true" outlineLevel="0" collapsed="false">
      <c r="B10" s="47"/>
      <c r="C10" s="47"/>
      <c r="D10" s="47"/>
      <c r="E10" s="47"/>
      <c r="F10" s="97"/>
    </row>
    <row r="11" customFormat="false" ht="15.75" hidden="false" customHeight="true" outlineLevel="0" collapsed="false">
      <c r="A11" s="49" t="n">
        <f aca="false">Summary!G8</f>
        <v>47848</v>
      </c>
      <c r="B11" s="3" t="s">
        <v>79</v>
      </c>
      <c r="C11" s="3"/>
      <c r="D11" s="3"/>
      <c r="E11" s="3"/>
      <c r="F11" s="3"/>
    </row>
    <row r="12" customFormat="false" ht="12.75" hidden="false" customHeight="true" outlineLevel="0" collapsed="false">
      <c r="B12" s="1" t="s">
        <v>80</v>
      </c>
      <c r="C12" s="47"/>
      <c r="D12" s="47"/>
      <c r="E12" s="47"/>
      <c r="F12" s="98" t="n">
        <f aca="false">J41</f>
        <v>1850</v>
      </c>
    </row>
    <row r="13" customFormat="false" ht="12.75" hidden="false" customHeight="true" outlineLevel="0" collapsed="false">
      <c r="B13" s="1" t="s">
        <v>8</v>
      </c>
      <c r="C13" s="47"/>
      <c r="D13" s="47"/>
      <c r="E13" s="47"/>
      <c r="F13" s="123" t="n">
        <v>10</v>
      </c>
    </row>
    <row r="14" customFormat="false" ht="12.75" hidden="false" customHeight="true" outlineLevel="0" collapsed="false">
      <c r="B14" s="47" t="s">
        <v>40</v>
      </c>
      <c r="C14" s="47"/>
      <c r="D14" s="47"/>
      <c r="E14" s="47"/>
      <c r="F14" s="95" t="n">
        <f aca="false">F12*F13</f>
        <v>18500</v>
      </c>
    </row>
    <row r="15" customFormat="false" ht="12.75" hidden="false" customHeight="true" outlineLevel="0" collapsed="false">
      <c r="B15" s="1" t="s">
        <v>81</v>
      </c>
      <c r="C15" s="47"/>
      <c r="D15" s="47"/>
      <c r="E15" s="47"/>
      <c r="F15" s="46" t="n">
        <f aca="false">-F6</f>
        <v>-3500</v>
      </c>
    </row>
    <row r="16" customFormat="false" ht="12.75" hidden="false" customHeight="true" outlineLevel="0" collapsed="false">
      <c r="B16" s="1" t="s">
        <v>46</v>
      </c>
      <c r="C16" s="47"/>
      <c r="D16" s="47"/>
      <c r="E16" s="47"/>
      <c r="F16" s="46" t="n">
        <f aca="false">F32</f>
        <v>5879.5515</v>
      </c>
    </row>
    <row r="17" customFormat="false" ht="12.75" hidden="false" customHeight="true" outlineLevel="0" collapsed="false">
      <c r="B17" s="47" t="s">
        <v>36</v>
      </c>
      <c r="C17" s="47"/>
      <c r="D17" s="47"/>
      <c r="E17" s="47"/>
      <c r="F17" s="48" t="n">
        <f aca="false">SUM(F14:F16)</f>
        <v>20879.5515</v>
      </c>
    </row>
    <row r="18" customFormat="false" ht="12.75" hidden="false" customHeight="true" outlineLevel="0" collapsed="false">
      <c r="B18" s="1" t="s">
        <v>47</v>
      </c>
      <c r="C18" s="47"/>
      <c r="D18" s="47"/>
      <c r="E18" s="47"/>
      <c r="F18" s="46" t="n">
        <f aca="false">F4</f>
        <v>73.5</v>
      </c>
    </row>
    <row r="19" customFormat="false" ht="12.75" hidden="false" customHeight="true" outlineLevel="0" collapsed="false">
      <c r="B19" s="47" t="s">
        <v>48</v>
      </c>
      <c r="C19" s="47"/>
      <c r="D19" s="47"/>
      <c r="E19" s="47"/>
      <c r="F19" s="100" t="n">
        <f aca="false">F17/F18</f>
        <v>284.075530612245</v>
      </c>
    </row>
    <row r="20" customFormat="false" ht="12.75" hidden="false" customHeight="true" outlineLevel="0" collapsed="false">
      <c r="B20" s="47"/>
      <c r="C20" s="47"/>
      <c r="D20" s="47"/>
      <c r="E20" s="47"/>
      <c r="F20" s="97"/>
    </row>
    <row r="21" customFormat="false" ht="12.75" hidden="false" customHeight="true" outlineLevel="0" collapsed="false">
      <c r="B21" s="45" t="s">
        <v>49</v>
      </c>
      <c r="C21" s="56"/>
      <c r="D21" s="47"/>
      <c r="E21" s="47"/>
      <c r="F21" s="97"/>
    </row>
    <row r="22" customFormat="false" ht="12.75" hidden="false" customHeight="true" outlineLevel="0" collapsed="false">
      <c r="B22" s="1" t="s">
        <v>50</v>
      </c>
      <c r="C22" s="57"/>
      <c r="D22" s="47"/>
      <c r="E22" s="47"/>
      <c r="F22" s="57" t="n">
        <f aca="false">F19/F3-1</f>
        <v>5.67470701626515</v>
      </c>
    </row>
    <row r="23" customFormat="false" ht="12.75" hidden="false" customHeight="true" outlineLevel="0" collapsed="false">
      <c r="B23" s="1" t="s">
        <v>10</v>
      </c>
      <c r="C23" s="58"/>
      <c r="D23" s="47"/>
      <c r="E23" s="47"/>
      <c r="F23" s="58" t="n">
        <f aca="false">F19/F3</f>
        <v>6.67470701626515</v>
      </c>
    </row>
    <row r="24" customFormat="false" ht="12.75" hidden="false" customHeight="true" outlineLevel="0" collapsed="false">
      <c r="A24" s="59" t="n">
        <f aca="false">(A11-A2)/365</f>
        <v>4.75342465753425</v>
      </c>
      <c r="B24" s="47" t="s">
        <v>9</v>
      </c>
      <c r="C24" s="60"/>
      <c r="D24" s="47"/>
      <c r="E24" s="47"/>
      <c r="F24" s="60" t="n">
        <f aca="false">F23^(1/A24)-1</f>
        <v>0.490869494912539</v>
      </c>
    </row>
    <row r="25" customFormat="false" ht="12.75" hidden="false" customHeight="true" outlineLevel="0" collapsed="false">
      <c r="B25" s="47"/>
      <c r="C25" s="47"/>
      <c r="D25" s="47"/>
      <c r="E25" s="47"/>
      <c r="F25" s="97"/>
    </row>
    <row r="26" customFormat="false" ht="12.75" hidden="false" customHeight="true" outlineLevel="0" collapsed="false">
      <c r="B26" s="47" t="s">
        <v>51</v>
      </c>
      <c r="C26" s="47"/>
      <c r="D26" s="47"/>
      <c r="E26" s="47"/>
      <c r="F26" s="97"/>
    </row>
    <row r="27" customFormat="false" ht="12.75" hidden="false" customHeight="true" outlineLevel="0" collapsed="false">
      <c r="B27" s="1" t="s">
        <v>54</v>
      </c>
      <c r="C27" s="47"/>
      <c r="D27" s="47"/>
      <c r="E27" s="47"/>
      <c r="F27" s="98" t="n">
        <f aca="false">SUM(F41:J41)</f>
        <v>8387</v>
      </c>
    </row>
    <row r="28" customFormat="false" ht="12.75" hidden="false" customHeight="true" outlineLevel="0" collapsed="false">
      <c r="A28" s="62"/>
      <c r="B28" s="1" t="s">
        <v>53</v>
      </c>
      <c r="C28" s="47"/>
      <c r="D28" s="47"/>
      <c r="E28" s="47"/>
      <c r="F28" s="46" t="n">
        <f aca="false">SUM(F45:J45)</f>
        <v>4635.41</v>
      </c>
    </row>
    <row r="29" customFormat="false" ht="12.75" hidden="false" customHeight="true" outlineLevel="0" collapsed="false">
      <c r="A29" s="124" t="n">
        <v>175</v>
      </c>
      <c r="B29" s="1" t="s">
        <v>82</v>
      </c>
      <c r="C29" s="47"/>
      <c r="D29" s="47"/>
      <c r="E29" s="47"/>
      <c r="F29" s="46" t="n">
        <f aca="false">A29*5</f>
        <v>875</v>
      </c>
    </row>
    <row r="30" customFormat="false" ht="12.75" hidden="false" customHeight="true" outlineLevel="0" collapsed="false">
      <c r="A30" s="101"/>
      <c r="B30" s="1" t="s">
        <v>83</v>
      </c>
      <c r="C30" s="47"/>
      <c r="D30" s="47"/>
      <c r="E30" s="47"/>
      <c r="F30" s="46" t="n">
        <f aca="false">SUM(F48:J48)</f>
        <v>1069.71</v>
      </c>
    </row>
    <row r="31" customFormat="false" ht="12.75" hidden="false" customHeight="true" outlineLevel="0" collapsed="false">
      <c r="A31" s="125" t="n">
        <v>0.15</v>
      </c>
      <c r="B31" s="1" t="s">
        <v>84</v>
      </c>
      <c r="C31" s="47"/>
      <c r="D31" s="47"/>
      <c r="E31" s="47"/>
      <c r="F31" s="46" t="n">
        <f aca="false">(F27-F28)*A31</f>
        <v>562.7385</v>
      </c>
    </row>
    <row r="32" customFormat="false" ht="12.75" hidden="false" customHeight="true" outlineLevel="0" collapsed="false">
      <c r="A32" s="101"/>
      <c r="B32" s="47" t="s">
        <v>58</v>
      </c>
      <c r="C32" s="47"/>
      <c r="D32" s="47"/>
      <c r="E32" s="47"/>
      <c r="F32" s="48" t="n">
        <f aca="false">F27-SUM(F29:F31)</f>
        <v>5879.5515</v>
      </c>
    </row>
    <row r="34" customFormat="false" ht="12.75" hidden="false" customHeight="true" outlineLevel="0" collapsed="false">
      <c r="K34" s="102" t="s">
        <v>85</v>
      </c>
    </row>
    <row r="35" customFormat="false" ht="15.75" hidden="false" customHeight="true" outlineLevel="0" collapsed="false">
      <c r="C35" s="4" t="s">
        <v>86</v>
      </c>
      <c r="D35" s="4" t="s">
        <v>87</v>
      </c>
      <c r="E35" s="2" t="s">
        <v>88</v>
      </c>
      <c r="F35" s="4" t="s">
        <v>89</v>
      </c>
      <c r="G35" s="4" t="s">
        <v>90</v>
      </c>
      <c r="H35" s="4" t="s">
        <v>91</v>
      </c>
      <c r="I35" s="4" t="s">
        <v>92</v>
      </c>
      <c r="J35" s="4" t="s">
        <v>93</v>
      </c>
      <c r="K35" s="103" t="s">
        <v>94</v>
      </c>
    </row>
    <row r="36" customFormat="false" ht="15.75" hidden="false" customHeight="true" outlineLevel="0" collapsed="false">
      <c r="B36" s="45" t="s">
        <v>24</v>
      </c>
      <c r="C36" s="4"/>
      <c r="D36" s="4"/>
      <c r="E36" s="2"/>
      <c r="F36" s="4"/>
      <c r="G36" s="4"/>
      <c r="H36" s="4"/>
      <c r="I36" s="4"/>
      <c r="J36" s="4"/>
      <c r="K36" s="103"/>
    </row>
    <row r="37" customFormat="false" ht="12.75" hidden="false" customHeight="true" outlineLevel="0" collapsed="false">
      <c r="B37" s="47" t="s">
        <v>98</v>
      </c>
      <c r="C37" s="108" t="n">
        <v>2565</v>
      </c>
      <c r="D37" s="108" t="n">
        <v>3331</v>
      </c>
      <c r="E37" s="126" t="n">
        <v>4180</v>
      </c>
      <c r="F37" s="127" t="n">
        <v>5100</v>
      </c>
      <c r="G37" s="127" t="n">
        <v>6120</v>
      </c>
      <c r="H37" s="127" t="n">
        <v>7037</v>
      </c>
      <c r="I37" s="127" t="n">
        <v>8093</v>
      </c>
      <c r="J37" s="127" t="n">
        <v>9307</v>
      </c>
      <c r="K37" s="110" t="n">
        <f aca="false">(J37/E37)^(1/5)-1</f>
        <v>0.173617796472417</v>
      </c>
    </row>
    <row r="38" customFormat="false" ht="12.75" hidden="false" customHeight="true" outlineLevel="0" collapsed="false">
      <c r="B38" s="1" t="s">
        <v>99</v>
      </c>
      <c r="D38" s="57" t="n">
        <f aca="false">D37/C37-1</f>
        <v>0.298635477582846</v>
      </c>
      <c r="E38" s="111" t="n">
        <f aca="false">E37/D37-1</f>
        <v>0.254878414890423</v>
      </c>
      <c r="F38" s="57" t="n">
        <f aca="false">F37/E37-1</f>
        <v>0.220095693779904</v>
      </c>
      <c r="G38" s="57" t="n">
        <f aca="false">G37/F37-1</f>
        <v>0.2</v>
      </c>
      <c r="H38" s="112" t="n">
        <v>0.15</v>
      </c>
      <c r="I38" s="112" t="n">
        <v>0.15</v>
      </c>
      <c r="J38" s="112" t="n">
        <v>0.15</v>
      </c>
      <c r="K38" s="113"/>
    </row>
    <row r="39" customFormat="false" ht="15.75" hidden="false" customHeight="true" outlineLevel="0" collapsed="false">
      <c r="C39" s="44"/>
      <c r="D39" s="44"/>
      <c r="E39" s="114"/>
      <c r="F39" s="44"/>
      <c r="G39" s="44"/>
      <c r="H39" s="44"/>
      <c r="I39" s="44"/>
      <c r="J39" s="44"/>
      <c r="K39" s="113"/>
    </row>
    <row r="40" customFormat="false" ht="15.75" hidden="false" customHeight="true" outlineLevel="0" collapsed="false">
      <c r="B40" s="45" t="s">
        <v>71</v>
      </c>
      <c r="C40" s="44"/>
      <c r="D40" s="44"/>
      <c r="E40" s="114"/>
      <c r="F40" s="44"/>
      <c r="G40" s="44"/>
      <c r="H40" s="44"/>
      <c r="I40" s="44"/>
      <c r="J40" s="44"/>
      <c r="K40" s="113"/>
    </row>
    <row r="41" customFormat="false" ht="12.75" hidden="false" customHeight="true" outlineLevel="0" collapsed="false">
      <c r="B41" s="47" t="s">
        <v>98</v>
      </c>
      <c r="C41" s="116" t="n">
        <v>376</v>
      </c>
      <c r="D41" s="116" t="n">
        <v>542</v>
      </c>
      <c r="E41" s="126" t="n">
        <v>970</v>
      </c>
      <c r="F41" s="127" t="n">
        <v>1190</v>
      </c>
      <c r="G41" s="127" t="n">
        <v>1580</v>
      </c>
      <c r="H41" s="127" t="n">
        <v>1777</v>
      </c>
      <c r="I41" s="127" t="n">
        <v>1990</v>
      </c>
      <c r="J41" s="127" t="n">
        <v>1850</v>
      </c>
      <c r="K41" s="110" t="n">
        <f aca="false">(J41/E41)^(1/5)-1</f>
        <v>0.137836860743769</v>
      </c>
    </row>
    <row r="42" customFormat="false" ht="12.75" hidden="false" customHeight="true" outlineLevel="0" collapsed="false">
      <c r="B42" s="1" t="s">
        <v>99</v>
      </c>
      <c r="D42" s="57" t="n">
        <f aca="false">D41/C41-1</f>
        <v>0.441489361702128</v>
      </c>
      <c r="E42" s="111" t="n">
        <f aca="false">E41/D41-1</f>
        <v>0.789667896678967</v>
      </c>
      <c r="F42" s="57" t="n">
        <f aca="false">F41/E41-1</f>
        <v>0.22680412371134</v>
      </c>
      <c r="G42" s="57" t="n">
        <f aca="false">G41/F41-1</f>
        <v>0.327731092436975</v>
      </c>
      <c r="H42" s="112" t="n">
        <f aca="false">H41/G41-1</f>
        <v>0.124683544303797</v>
      </c>
      <c r="I42" s="112" t="n">
        <f aca="false">I41/H41-1</f>
        <v>0.119864940911649</v>
      </c>
      <c r="J42" s="112" t="n">
        <f aca="false">J41/I41-1</f>
        <v>-0.0703517587939698</v>
      </c>
      <c r="K42" s="113"/>
    </row>
    <row r="43" customFormat="false" ht="12.75" hidden="false" customHeight="true" outlineLevel="0" collapsed="false">
      <c r="B43" s="1" t="s">
        <v>101</v>
      </c>
      <c r="C43" s="57" t="n">
        <f aca="false">C41/C37</f>
        <v>0.146588693957115</v>
      </c>
      <c r="D43" s="57" t="n">
        <f aca="false">D41/D37</f>
        <v>0.162713899729811</v>
      </c>
      <c r="E43" s="111" t="n">
        <f aca="false">E41/E37</f>
        <v>0.232057416267943</v>
      </c>
      <c r="F43" s="57" t="n">
        <f aca="false">F41/F37</f>
        <v>0.233333333333333</v>
      </c>
      <c r="G43" s="57" t="n">
        <f aca="false">G41/G37</f>
        <v>0.258169934640523</v>
      </c>
      <c r="H43" s="57" t="n">
        <f aca="false">H41/H37</f>
        <v>0.252522381696746</v>
      </c>
      <c r="I43" s="57" t="n">
        <f aca="false">I41/I37</f>
        <v>0.245891511182503</v>
      </c>
      <c r="J43" s="57" t="n">
        <f aca="false">J41/J37</f>
        <v>0.198775115504459</v>
      </c>
      <c r="K43" s="113"/>
    </row>
    <row r="44" customFormat="false" ht="12.75" hidden="false" customHeight="true" outlineLevel="0" collapsed="false">
      <c r="E44" s="118"/>
      <c r="K44" s="113"/>
    </row>
    <row r="45" customFormat="false" ht="12.75" hidden="false" customHeight="true" outlineLevel="0" collapsed="false">
      <c r="B45" s="1" t="s">
        <v>72</v>
      </c>
      <c r="C45" s="104" t="n">
        <v>196</v>
      </c>
      <c r="D45" s="104" t="n">
        <v>271</v>
      </c>
      <c r="E45" s="105" t="n">
        <v>523</v>
      </c>
      <c r="F45" s="104" t="n">
        <f aca="false">F46*F37</f>
        <v>663</v>
      </c>
      <c r="G45" s="104" t="n">
        <f aca="false">G46*G37</f>
        <v>795.6</v>
      </c>
      <c r="H45" s="106" t="n">
        <f aca="false">H46*H37</f>
        <v>914.81</v>
      </c>
      <c r="I45" s="106" t="n">
        <f aca="false">I46*I37</f>
        <v>1052.09</v>
      </c>
      <c r="J45" s="106" t="n">
        <f aca="false">J46*J37</f>
        <v>1209.91</v>
      </c>
      <c r="K45" s="107" t="n">
        <f aca="false">(J45/E45)^(1/5)-1</f>
        <v>0.182633768341104</v>
      </c>
    </row>
    <row r="46" customFormat="false" ht="12.75" hidden="false" customHeight="true" outlineLevel="0" collapsed="false">
      <c r="B46" s="1" t="s">
        <v>102</v>
      </c>
      <c r="C46" s="57" t="n">
        <f aca="false">C45/C37</f>
        <v>0.0764132553606238</v>
      </c>
      <c r="D46" s="57" t="n">
        <f aca="false">D45/D37</f>
        <v>0.0813569498649054</v>
      </c>
      <c r="E46" s="111" t="n">
        <f aca="false">E45/E37</f>
        <v>0.12511961722488</v>
      </c>
      <c r="F46" s="57" t="n">
        <v>0.13</v>
      </c>
      <c r="G46" s="57" t="n">
        <v>0.13</v>
      </c>
      <c r="H46" s="57" t="n">
        <v>0.13</v>
      </c>
      <c r="I46" s="57" t="n">
        <v>0.13</v>
      </c>
      <c r="J46" s="57" t="n">
        <v>0.13</v>
      </c>
      <c r="K46" s="113"/>
    </row>
    <row r="47" customFormat="false" ht="12.75" hidden="false" customHeight="true" outlineLevel="0" collapsed="false">
      <c r="E47" s="118"/>
      <c r="K47" s="113"/>
    </row>
    <row r="48" customFormat="false" ht="12.75" hidden="false" customHeight="true" outlineLevel="0" collapsed="false">
      <c r="B48" s="1" t="s">
        <v>103</v>
      </c>
      <c r="C48" s="104" t="n">
        <v>92</v>
      </c>
      <c r="D48" s="104" t="n">
        <v>108</v>
      </c>
      <c r="E48" s="105" t="n">
        <v>115</v>
      </c>
      <c r="F48" s="106" t="n">
        <f aca="false">F49*F37</f>
        <v>153</v>
      </c>
      <c r="G48" s="106" t="n">
        <f aca="false">G49*G37</f>
        <v>183.6</v>
      </c>
      <c r="H48" s="106" t="n">
        <f aca="false">H49*H37</f>
        <v>211.11</v>
      </c>
      <c r="I48" s="106" t="n">
        <f aca="false">I49*I37</f>
        <v>242.79</v>
      </c>
      <c r="J48" s="106" t="n">
        <f aca="false">J49*J37</f>
        <v>279.21</v>
      </c>
      <c r="K48" s="107" t="n">
        <f aca="false">(J48/E48)^(1/5)-1</f>
        <v>0.194116297359121</v>
      </c>
    </row>
    <row r="49" customFormat="false" ht="12.75" hidden="false" customHeight="true" outlineLevel="0" collapsed="false">
      <c r="B49" s="1" t="s">
        <v>102</v>
      </c>
      <c r="C49" s="57" t="n">
        <f aca="false">C48/C37</f>
        <v>0.0358674463937622</v>
      </c>
      <c r="D49" s="57" t="n">
        <f aca="false">D48/D37</f>
        <v>0.032422695887121</v>
      </c>
      <c r="E49" s="111" t="n">
        <f aca="false">E48/E37</f>
        <v>0.027511961722488</v>
      </c>
      <c r="F49" s="112" t="n">
        <v>0.03</v>
      </c>
      <c r="G49" s="112" t="n">
        <v>0.03</v>
      </c>
      <c r="H49" s="112" t="n">
        <v>0.03</v>
      </c>
      <c r="I49" s="112" t="n">
        <v>0.03</v>
      </c>
      <c r="J49" s="112" t="n">
        <v>0.03</v>
      </c>
      <c r="K49" s="113"/>
    </row>
    <row r="50" customFormat="false" ht="12.75" hidden="false" customHeight="true" outlineLevel="0" collapsed="false">
      <c r="E50" s="118"/>
      <c r="J50" s="118"/>
    </row>
    <row r="52" customFormat="false" ht="13.8" hidden="false" customHeight="false" outlineLevel="0" collapsed="false">
      <c r="A52" s="128" t="s">
        <v>105</v>
      </c>
    </row>
    <row r="53" customFormat="false" ht="12.75" hidden="false" customHeight="false" outlineLevel="0" collapsed="false">
      <c r="B53" s="1" t="s">
        <v>106</v>
      </c>
      <c r="F53" s="1" t="n">
        <v>42.56</v>
      </c>
    </row>
    <row r="54" customFormat="false" ht="13.8" hidden="false" customHeight="false" outlineLevel="0" collapsed="false">
      <c r="B54" s="1" t="s">
        <v>107</v>
      </c>
      <c r="F54" s="129" t="n">
        <v>46113</v>
      </c>
    </row>
    <row r="55" customFormat="false" ht="30" hidden="false" customHeight="true" outlineLevel="0" collapsed="false">
      <c r="B55" s="1" t="s">
        <v>108</v>
      </c>
      <c r="F55" s="130" t="s">
        <v>109</v>
      </c>
    </row>
    <row r="56" customFormat="false" ht="12.75" hidden="false" customHeight="true" outlineLevel="0" collapsed="false">
      <c r="C56" s="106"/>
    </row>
  </sheetData>
  <mergeCells count="2">
    <mergeCell ref="B2:F2"/>
    <mergeCell ref="B11:F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7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K115"/>
  <sheetViews>
    <sheetView showFormulas="false" showGridLines="fals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G76" activeCellId="0" sqref="G76"/>
    </sheetView>
  </sheetViews>
  <sheetFormatPr defaultColWidth="9.00390625" defaultRowHeight="12.75" customHeight="true" zeroHeight="false" outlineLevelRow="0" outlineLevelCol="0"/>
  <cols>
    <col collapsed="false" customWidth="true" hidden="false" outlineLevel="0" max="1" min="1" style="1" width="10.67"/>
    <col collapsed="false" customWidth="true" hidden="false" outlineLevel="0" max="2" min="2" style="1" width="24.83"/>
    <col collapsed="false" customWidth="true" hidden="false" outlineLevel="0" max="3" min="3" style="1" width="11.83"/>
    <col collapsed="false" customWidth="true" hidden="false" outlineLevel="0" max="4" min="4" style="1" width="11.17"/>
    <col collapsed="false" customWidth="true" hidden="false" outlineLevel="0" max="11" min="5" style="1" width="11.67"/>
    <col collapsed="false" customWidth="false" hidden="false" outlineLevel="0" max="12" min="12" style="1" width="9"/>
    <col collapsed="false" customWidth="true" hidden="false" outlineLevel="0" max="13" min="13" style="1" width="11.83"/>
    <col collapsed="false" customWidth="false" hidden="false" outlineLevel="0" max="14" min="14" style="1" width="9"/>
    <col collapsed="false" customWidth="true" hidden="false" outlineLevel="0" max="15" min="15" style="1" width="13.66"/>
    <col collapsed="false" customWidth="true" hidden="false" outlineLevel="0" max="16" min="16" style="1" width="9.83"/>
    <col collapsed="false" customWidth="false" hidden="false" outlineLevel="0" max="16384" min="17" style="1" width="9"/>
  </cols>
  <sheetData>
    <row r="2" customFormat="false" ht="15.75" hidden="false" customHeight="true" outlineLevel="0" collapsed="false">
      <c r="B2" s="3" t="s">
        <v>33</v>
      </c>
      <c r="C2" s="3"/>
    </row>
    <row r="3" customFormat="false" ht="15" hidden="false" customHeight="true" outlineLevel="0" collapsed="false">
      <c r="A3" s="131" t="n">
        <f aca="false">Summary!C9</f>
        <v>45917</v>
      </c>
      <c r="B3" s="1" t="s">
        <v>34</v>
      </c>
      <c r="C3" s="132" t="n">
        <f aca="false">Summary!D9</f>
        <v>18</v>
      </c>
    </row>
    <row r="4" customFormat="false" ht="15" hidden="false" customHeight="true" outlineLevel="0" collapsed="false">
      <c r="B4" s="1" t="s">
        <v>110</v>
      </c>
      <c r="C4" s="104" t="n">
        <v>2534.66326530612</v>
      </c>
    </row>
    <row r="5" customFormat="false" ht="15" hidden="false" customHeight="true" outlineLevel="0" collapsed="false">
      <c r="B5" s="47" t="s">
        <v>36</v>
      </c>
      <c r="C5" s="133" t="n">
        <f aca="false">C3*C4</f>
        <v>45623.9387755102</v>
      </c>
    </row>
    <row r="6" customFormat="false" ht="15" hidden="false" customHeight="true" outlineLevel="0" collapsed="false">
      <c r="B6" s="1" t="s">
        <v>111</v>
      </c>
      <c r="C6" s="104" t="n">
        <v>33578</v>
      </c>
    </row>
    <row r="7" customFormat="false" ht="15" hidden="false" customHeight="true" outlineLevel="0" collapsed="false">
      <c r="B7" s="47" t="s">
        <v>40</v>
      </c>
      <c r="C7" s="133" t="n">
        <f aca="false">C5+C6</f>
        <v>79201.9387755102</v>
      </c>
      <c r="E7" s="58"/>
    </row>
    <row r="8" customFormat="false" ht="15" hidden="false" customHeight="true" outlineLevel="0" collapsed="false">
      <c r="B8" s="43" t="s">
        <v>5</v>
      </c>
      <c r="C8" s="51" t="n">
        <f aca="false">C7/F38</f>
        <v>8.98694414790766</v>
      </c>
    </row>
    <row r="9" customFormat="false" ht="15" hidden="false" customHeight="true" outlineLevel="0" collapsed="false">
      <c r="B9" s="43" t="s">
        <v>6</v>
      </c>
      <c r="C9" s="51" t="n">
        <f aca="false">C7/G38</f>
        <v>8.7111679251551</v>
      </c>
    </row>
    <row r="10" customFormat="false" ht="15" hidden="false" customHeight="true" outlineLevel="0" collapsed="false">
      <c r="E10" s="43"/>
    </row>
    <row r="11" customFormat="false" ht="15" hidden="false" customHeight="true" outlineLevel="0" collapsed="false">
      <c r="B11" s="3" t="s">
        <v>79</v>
      </c>
      <c r="C11" s="3"/>
    </row>
    <row r="12" customFormat="false" ht="15" hidden="false" customHeight="true" outlineLevel="0" collapsed="false">
      <c r="A12" s="131" t="n">
        <f aca="false">Summary!G9</f>
        <v>47848</v>
      </c>
      <c r="B12" s="1" t="s">
        <v>80</v>
      </c>
      <c r="C12" s="134" t="n">
        <f aca="false">K38</f>
        <v>10549.5838872736</v>
      </c>
    </row>
    <row r="13" customFormat="false" ht="15" hidden="false" customHeight="true" outlineLevel="0" collapsed="false">
      <c r="B13" s="1" t="s">
        <v>8</v>
      </c>
      <c r="C13" s="53" t="n">
        <f aca="false">Summary!H9</f>
        <v>10</v>
      </c>
    </row>
    <row r="14" customFormat="false" ht="15" hidden="false" customHeight="true" outlineLevel="0" collapsed="false">
      <c r="B14" s="47" t="s">
        <v>40</v>
      </c>
      <c r="C14" s="133" t="n">
        <f aca="false">C12*C13</f>
        <v>105495.838872736</v>
      </c>
    </row>
    <row r="15" customFormat="false" ht="15" hidden="false" customHeight="true" outlineLevel="0" collapsed="false">
      <c r="B15" s="1" t="s">
        <v>112</v>
      </c>
      <c r="C15" s="134" t="n">
        <f aca="false">-K40</f>
        <v>-12947</v>
      </c>
    </row>
    <row r="16" customFormat="false" ht="15" hidden="false" customHeight="true" outlineLevel="0" collapsed="false">
      <c r="B16" s="47" t="s">
        <v>36</v>
      </c>
      <c r="C16" s="133" t="n">
        <f aca="false">C14+C15</f>
        <v>92548.838872736</v>
      </c>
    </row>
    <row r="17" customFormat="false" ht="15" hidden="false" customHeight="true" outlineLevel="0" collapsed="false">
      <c r="B17" s="1" t="s">
        <v>113</v>
      </c>
      <c r="C17" s="106" t="n">
        <f aca="false">C4</f>
        <v>2534.66326530612</v>
      </c>
    </row>
    <row r="18" customFormat="false" ht="15" hidden="false" customHeight="true" outlineLevel="0" collapsed="false">
      <c r="B18" s="47" t="s">
        <v>48</v>
      </c>
      <c r="C18" s="135" t="n">
        <f aca="false">C16/C17</f>
        <v>36.5132679119641</v>
      </c>
      <c r="F18" s="4"/>
      <c r="G18" s="4"/>
      <c r="H18" s="4"/>
      <c r="I18" s="4"/>
      <c r="J18" s="4"/>
      <c r="K18" s="4"/>
    </row>
    <row r="19" customFormat="false" ht="15" hidden="false" customHeight="true" outlineLevel="0" collapsed="false">
      <c r="B19" s="47"/>
      <c r="C19" s="61"/>
      <c r="F19" s="4"/>
      <c r="G19" s="4"/>
      <c r="H19" s="4"/>
      <c r="I19" s="4"/>
      <c r="J19" s="4"/>
      <c r="K19" s="4"/>
    </row>
    <row r="20" customFormat="false" ht="15" hidden="false" customHeight="true" outlineLevel="0" collapsed="false">
      <c r="B20" s="45" t="s">
        <v>49</v>
      </c>
      <c r="C20" s="56"/>
      <c r="F20" s="4"/>
      <c r="G20" s="4"/>
      <c r="H20" s="4"/>
      <c r="I20" s="4"/>
      <c r="J20" s="4"/>
      <c r="K20" s="4"/>
    </row>
    <row r="21" customFormat="false" ht="15" hidden="false" customHeight="true" outlineLevel="0" collapsed="false">
      <c r="B21" s="136" t="s">
        <v>50</v>
      </c>
      <c r="C21" s="137" t="n">
        <f aca="false">C18/C3-1</f>
        <v>1.028514883998</v>
      </c>
      <c r="F21" s="4"/>
      <c r="G21" s="4"/>
      <c r="H21" s="4"/>
      <c r="I21" s="4"/>
      <c r="J21" s="4"/>
      <c r="K21" s="4"/>
    </row>
    <row r="22" customFormat="false" ht="15" hidden="false" customHeight="true" outlineLevel="0" collapsed="false">
      <c r="B22" s="136" t="s">
        <v>10</v>
      </c>
      <c r="C22" s="138" t="n">
        <f aca="false">C18/C3</f>
        <v>2.028514883998</v>
      </c>
      <c r="F22" s="4"/>
      <c r="G22" s="4"/>
      <c r="H22" s="4"/>
      <c r="I22" s="4"/>
      <c r="J22" s="4"/>
      <c r="K22" s="4"/>
    </row>
    <row r="23" customFormat="false" ht="15" hidden="false" customHeight="true" outlineLevel="0" collapsed="false">
      <c r="A23" s="59" t="n">
        <f aca="false">(A12-A3)/365</f>
        <v>5.29041095890411</v>
      </c>
      <c r="B23" s="139" t="s">
        <v>9</v>
      </c>
      <c r="C23" s="140" t="n">
        <f aca="false">C22^(1/A23)-1</f>
        <v>0.143044666909638</v>
      </c>
      <c r="F23" s="4"/>
      <c r="G23" s="4"/>
      <c r="H23" s="4"/>
      <c r="I23" s="4"/>
      <c r="J23" s="4"/>
      <c r="K23" s="4"/>
    </row>
    <row r="25" customFormat="false" ht="15.75" hidden="false" customHeight="true" outlineLevel="0" collapsed="false">
      <c r="C25" s="4" t="s">
        <v>114</v>
      </c>
      <c r="D25" s="4" t="s">
        <v>86</v>
      </c>
      <c r="E25" s="4" t="s">
        <v>87</v>
      </c>
      <c r="F25" s="2" t="s">
        <v>88</v>
      </c>
      <c r="G25" s="4" t="s">
        <v>89</v>
      </c>
      <c r="H25" s="4" t="s">
        <v>90</v>
      </c>
      <c r="I25" s="4" t="s">
        <v>91</v>
      </c>
      <c r="J25" s="4" t="s">
        <v>92</v>
      </c>
      <c r="K25" s="4" t="s">
        <v>93</v>
      </c>
    </row>
    <row r="26" customFormat="false" ht="12.75" hidden="false" customHeight="true" outlineLevel="0" collapsed="false">
      <c r="B26" s="141" t="s">
        <v>24</v>
      </c>
      <c r="F26" s="118"/>
    </row>
    <row r="27" customFormat="false" ht="12.75" hidden="false" customHeight="true" outlineLevel="0" collapsed="false">
      <c r="B27" s="76" t="s">
        <v>115</v>
      </c>
      <c r="C27" s="142" t="n">
        <v>13798</v>
      </c>
      <c r="D27" s="142" t="n">
        <v>12192</v>
      </c>
      <c r="E27" s="142" t="n">
        <v>11607</v>
      </c>
      <c r="F27" s="143" t="n">
        <v>12126</v>
      </c>
      <c r="G27" s="142" t="n">
        <v>12445</v>
      </c>
      <c r="H27" s="142" t="n">
        <f aca="false">G27*(1+H57)</f>
        <v>12818.35</v>
      </c>
      <c r="I27" s="142" t="n">
        <f aca="false">H27*(1+I57)</f>
        <v>13202.9005</v>
      </c>
      <c r="J27" s="142" t="n">
        <f aca="false">I27*(1+J57)</f>
        <v>13598.987515</v>
      </c>
      <c r="K27" s="142" t="n">
        <f aca="false">J27*(1+K57)</f>
        <v>14006.95714045</v>
      </c>
    </row>
    <row r="28" customFormat="false" ht="12.75" hidden="false" customHeight="true" outlineLevel="0" collapsed="false">
      <c r="B28" s="1" t="s">
        <v>116</v>
      </c>
      <c r="C28" s="106" t="n">
        <v>23186</v>
      </c>
      <c r="D28" s="106" t="n">
        <v>21244</v>
      </c>
      <c r="E28" s="106" t="n">
        <v>20175</v>
      </c>
      <c r="F28" s="115" t="n">
        <v>17153</v>
      </c>
      <c r="G28" s="106" t="n">
        <v>14917</v>
      </c>
      <c r="H28" s="106" t="n">
        <f aca="false">G28*(1+H58)</f>
        <v>13425.3</v>
      </c>
      <c r="I28" s="106" t="n">
        <f aca="false">H28*(1+I58)</f>
        <v>12082.77</v>
      </c>
      <c r="J28" s="106" t="n">
        <f aca="false">I28*(1+J58)</f>
        <v>10874.493</v>
      </c>
      <c r="K28" s="106" t="n">
        <f aca="false">J28*(1+K58)</f>
        <v>9787.0437</v>
      </c>
    </row>
    <row r="29" customFormat="false" ht="12.75" hidden="false" customHeight="true" outlineLevel="0" collapsed="false">
      <c r="B29" s="76" t="s">
        <v>117</v>
      </c>
      <c r="C29" s="144" t="n">
        <v>9693</v>
      </c>
      <c r="D29" s="144" t="n">
        <v>10154</v>
      </c>
      <c r="E29" s="144" t="n">
        <v>10313</v>
      </c>
      <c r="F29" s="145" t="n">
        <v>11023</v>
      </c>
      <c r="G29" s="144" t="n">
        <v>11992</v>
      </c>
      <c r="H29" s="144" t="n">
        <f aca="false">G29*(1+H59)</f>
        <v>13591.9808867781</v>
      </c>
      <c r="I29" s="144" t="n">
        <f aca="false">H29*(1+I59)</f>
        <v>15469.3015771083</v>
      </c>
      <c r="J29" s="144" t="n">
        <f aca="false">I29*(1+J59)</f>
        <v>17681.243426242</v>
      </c>
      <c r="K29" s="144" t="n">
        <f aca="false">J29*(1+K59)</f>
        <v>20297.9402659416</v>
      </c>
    </row>
    <row r="30" customFormat="false" ht="12.75" hidden="false" customHeight="true" outlineLevel="0" collapsed="false">
      <c r="B30" s="1" t="s">
        <v>118</v>
      </c>
      <c r="C30" s="106" t="n">
        <f aca="false">C31-SUM(C27:C29)</f>
        <v>-3582</v>
      </c>
      <c r="D30" s="106" t="n">
        <f aca="false">D31-SUM(D27:D29)</f>
        <v>-2269</v>
      </c>
      <c r="E30" s="106" t="n">
        <f aca="false">E31-SUM(E27:E29)</f>
        <v>-2774</v>
      </c>
      <c r="F30" s="115" t="n">
        <f aca="false">F31-SUM(F27:F29)</f>
        <v>-2639</v>
      </c>
      <c r="G30" s="106" t="n">
        <f aca="false">G31-SUM(G27:G29)</f>
        <v>-2679</v>
      </c>
      <c r="H30" s="106" t="n">
        <f aca="false">G30*(1+H60)</f>
        <v>-2679</v>
      </c>
      <c r="I30" s="106" t="n">
        <f aca="false">H30*(1+I60)</f>
        <v>-2679</v>
      </c>
      <c r="J30" s="106" t="n">
        <f aca="false">I30*(1+J60)</f>
        <v>-2679</v>
      </c>
      <c r="K30" s="106" t="n">
        <f aca="false">J30*(1+K60)</f>
        <v>-2679</v>
      </c>
    </row>
    <row r="31" customFormat="false" ht="12.75" hidden="false" customHeight="true" outlineLevel="0" collapsed="false">
      <c r="B31" s="47" t="s">
        <v>119</v>
      </c>
      <c r="C31" s="133" t="n">
        <v>43095</v>
      </c>
      <c r="D31" s="133" t="n">
        <v>41321</v>
      </c>
      <c r="E31" s="133" t="n">
        <v>39321</v>
      </c>
      <c r="F31" s="146" t="n">
        <v>37663</v>
      </c>
      <c r="G31" s="133" t="n">
        <v>36675</v>
      </c>
      <c r="H31" s="133" t="n">
        <f aca="false">SUM(H27:H30)</f>
        <v>37156.6308867781</v>
      </c>
      <c r="I31" s="133" t="n">
        <f aca="false">SUM(I27:I30)</f>
        <v>38075.9720771083</v>
      </c>
      <c r="J31" s="133" t="n">
        <f aca="false">SUM(J27:J30)</f>
        <v>39475.723941242</v>
      </c>
      <c r="K31" s="133" t="n">
        <f aca="false">SUM(K27:K30)</f>
        <v>41412.9411063916</v>
      </c>
    </row>
    <row r="32" customFormat="false" ht="12.75" hidden="false" customHeight="true" outlineLevel="0" collapsed="false">
      <c r="F32" s="118"/>
    </row>
    <row r="33" customFormat="false" ht="12.75" hidden="false" customHeight="true" outlineLevel="0" collapsed="false">
      <c r="B33" s="141" t="s">
        <v>120</v>
      </c>
      <c r="F33" s="118"/>
    </row>
    <row r="34" customFormat="false" ht="12.75" hidden="false" customHeight="true" outlineLevel="0" collapsed="false">
      <c r="B34" s="76" t="s">
        <v>115</v>
      </c>
      <c r="C34" s="142" t="n">
        <v>2749</v>
      </c>
      <c r="D34" s="142" t="n">
        <v>2183</v>
      </c>
      <c r="E34" s="142" t="n">
        <v>1652</v>
      </c>
      <c r="F34" s="143" t="n">
        <v>2028</v>
      </c>
      <c r="G34" s="142" t="n">
        <v>2463</v>
      </c>
      <c r="H34" s="142" t="n">
        <f aca="false">G34*(1+H64)</f>
        <v>2709.3</v>
      </c>
      <c r="I34" s="142" t="n">
        <f aca="false">H34*(1+I64)</f>
        <v>2980.23</v>
      </c>
      <c r="J34" s="142" t="n">
        <f aca="false">I34*(1+J64)</f>
        <v>3278.253</v>
      </c>
      <c r="K34" s="142" t="n">
        <f aca="false">J34*(1+K64)</f>
        <v>3606.0783</v>
      </c>
    </row>
    <row r="35" customFormat="false" ht="12.75" hidden="false" customHeight="true" outlineLevel="0" collapsed="false">
      <c r="B35" s="1" t="s">
        <v>116</v>
      </c>
      <c r="C35" s="106" t="n">
        <v>7465</v>
      </c>
      <c r="D35" s="106" t="n">
        <v>9063</v>
      </c>
      <c r="E35" s="106" t="n">
        <v>8149</v>
      </c>
      <c r="F35" s="115" t="n">
        <v>7012</v>
      </c>
      <c r="G35" s="106" t="n">
        <v>6662</v>
      </c>
      <c r="H35" s="106" t="n">
        <f aca="false">G35*(1+H65)</f>
        <v>6328.9</v>
      </c>
      <c r="I35" s="106" t="n">
        <f aca="false">H35*(1+I65)</f>
        <v>6012.455</v>
      </c>
      <c r="J35" s="106" t="n">
        <f aca="false">I35*(1+J65)</f>
        <v>5711.83225</v>
      </c>
      <c r="K35" s="106" t="n">
        <f aca="false">J35*(1+K65)</f>
        <v>5426.2406375</v>
      </c>
    </row>
    <row r="36" customFormat="false" ht="12.75" hidden="false" customHeight="true" outlineLevel="0" collapsed="false">
      <c r="B36" s="76" t="s">
        <v>117</v>
      </c>
      <c r="C36" s="144" t="n">
        <v>-1409</v>
      </c>
      <c r="D36" s="144" t="n">
        <v>103</v>
      </c>
      <c r="E36" s="144" t="n">
        <v>677</v>
      </c>
      <c r="F36" s="145" t="n">
        <v>1313</v>
      </c>
      <c r="G36" s="144" t="n">
        <f aca="false">F36+(G115/1000)</f>
        <v>1779.3008</v>
      </c>
      <c r="H36" s="144" t="n">
        <f aca="false">G36+(H115/1000)</f>
        <v>2034.64624162682</v>
      </c>
      <c r="I36" s="144" t="n">
        <f aca="false">H36+(I115/1000)</f>
        <v>2366.91821976247</v>
      </c>
      <c r="J36" s="144" t="n">
        <f aca="false">I36+(J115/1000)</f>
        <v>2792.11033614948</v>
      </c>
      <c r="K36" s="144" t="n">
        <f aca="false">J36+(K115/1000)</f>
        <v>3329.56574977361</v>
      </c>
    </row>
    <row r="37" customFormat="false" ht="12.75" hidden="false" customHeight="true" outlineLevel="0" collapsed="false">
      <c r="B37" s="1" t="s">
        <v>118</v>
      </c>
      <c r="C37" s="106" t="n">
        <f aca="false">C38-SUM(C34:C36)</f>
        <v>-2012</v>
      </c>
      <c r="D37" s="106" t="n">
        <f aca="false">D38-SUM(D34:D36)</f>
        <v>-1149</v>
      </c>
      <c r="E37" s="106" t="n">
        <f aca="false">E38-SUM(E34:E36)</f>
        <v>-1446</v>
      </c>
      <c r="F37" s="115" t="n">
        <f aca="false">F38-SUM(F34:F36)</f>
        <v>-1540</v>
      </c>
      <c r="G37" s="106" t="n">
        <f aca="false">G38-SUM(G34:G36)</f>
        <v>-1812.3008</v>
      </c>
      <c r="H37" s="106" t="n">
        <f aca="false">G37*(1+H67)</f>
        <v>-1812.3008</v>
      </c>
      <c r="I37" s="106" t="n">
        <f aca="false">H37*(1+I67)</f>
        <v>-1812.3008</v>
      </c>
      <c r="J37" s="106" t="n">
        <f aca="false">I37*(1+J67)</f>
        <v>-1812.3008</v>
      </c>
      <c r="K37" s="106" t="n">
        <f aca="false">J37*(1+K67)</f>
        <v>-1812.3008</v>
      </c>
    </row>
    <row r="38" customFormat="false" ht="12.75" hidden="false" customHeight="true" outlineLevel="0" collapsed="false">
      <c r="B38" s="47" t="s">
        <v>121</v>
      </c>
      <c r="C38" s="133" t="n">
        <v>6793</v>
      </c>
      <c r="D38" s="133" t="n">
        <v>10200</v>
      </c>
      <c r="E38" s="133" t="n">
        <v>9032</v>
      </c>
      <c r="F38" s="146" t="n">
        <v>8813</v>
      </c>
      <c r="G38" s="133" t="n">
        <v>9092</v>
      </c>
      <c r="H38" s="133" t="n">
        <f aca="false">SUM(H34:H37)</f>
        <v>9260.54544162682</v>
      </c>
      <c r="I38" s="133" t="n">
        <f aca="false">SUM(I34:I37)</f>
        <v>9547.30241976247</v>
      </c>
      <c r="J38" s="133" t="n">
        <f aca="false">SUM(J34:J37)</f>
        <v>9969.89478614948</v>
      </c>
      <c r="K38" s="133" t="n">
        <f aca="false">SUM(K34:K37)</f>
        <v>10549.5838872736</v>
      </c>
    </row>
    <row r="39" customFormat="false" ht="12.75" hidden="false" customHeight="true" outlineLevel="0" collapsed="false">
      <c r="B39" s="47"/>
      <c r="C39" s="147"/>
      <c r="D39" s="147"/>
      <c r="E39" s="147"/>
      <c r="F39" s="148"/>
      <c r="G39" s="147"/>
      <c r="H39" s="147"/>
      <c r="I39" s="147"/>
      <c r="J39" s="147"/>
      <c r="K39" s="147"/>
    </row>
    <row r="40" customFormat="false" ht="12.75" hidden="false" customHeight="true" outlineLevel="0" collapsed="false">
      <c r="A40" s="149" t="n">
        <v>3000</v>
      </c>
      <c r="B40" s="43" t="s">
        <v>122</v>
      </c>
      <c r="C40" s="150" t="n">
        <v>45268</v>
      </c>
      <c r="D40" s="150" t="n">
        <v>39889</v>
      </c>
      <c r="E40" s="150" t="n">
        <v>34193</v>
      </c>
      <c r="F40" s="151" t="n">
        <v>29811</v>
      </c>
      <c r="G40" s="150" t="n">
        <v>24947</v>
      </c>
      <c r="H40" s="150" t="n">
        <f aca="false">G40-$A$40</f>
        <v>21947</v>
      </c>
      <c r="I40" s="150" t="n">
        <f aca="false">H40-$A$40</f>
        <v>18947</v>
      </c>
      <c r="J40" s="150" t="n">
        <f aca="false">I40-$A$40</f>
        <v>15947</v>
      </c>
      <c r="K40" s="150" t="n">
        <f aca="false">J40-$A$40</f>
        <v>12947</v>
      </c>
    </row>
    <row r="41" customFormat="false" ht="12.75" hidden="false" customHeight="true" outlineLevel="0" collapsed="false">
      <c r="B41" s="43" t="s">
        <v>123</v>
      </c>
      <c r="C41" s="51" t="n">
        <f aca="false">C40/C38</f>
        <v>6.66391873987929</v>
      </c>
      <c r="D41" s="51" t="n">
        <f aca="false">D40/D38</f>
        <v>3.9106862745098</v>
      </c>
      <c r="E41" s="51" t="n">
        <f aca="false">E40/E38</f>
        <v>3.7857617360496</v>
      </c>
      <c r="F41" s="152" t="n">
        <f aca="false">F40/F38</f>
        <v>3.3826165891297</v>
      </c>
      <c r="G41" s="51" t="n">
        <f aca="false">G40/G38</f>
        <v>2.74384073911131</v>
      </c>
      <c r="H41" s="51" t="n">
        <f aca="false">H40/H38</f>
        <v>2.36994679615162</v>
      </c>
      <c r="I41" s="51" t="n">
        <f aca="false">I40/I38</f>
        <v>1.98453962878358</v>
      </c>
      <c r="J41" s="51" t="n">
        <f aca="false">J40/J38</f>
        <v>1.59951537524289</v>
      </c>
      <c r="K41" s="51" t="n">
        <f aca="false">K40/K38</f>
        <v>1.22725219670688</v>
      </c>
    </row>
    <row r="42" customFormat="false" ht="12.75" hidden="false" customHeight="true" outlineLevel="0" collapsed="false">
      <c r="F42" s="118"/>
    </row>
    <row r="43" customFormat="false" ht="12.75" hidden="false" customHeight="true" outlineLevel="0" collapsed="false">
      <c r="B43" s="141" t="s">
        <v>117</v>
      </c>
      <c r="F43" s="118"/>
    </row>
    <row r="44" customFormat="false" ht="12.75" hidden="false" customHeight="true" outlineLevel="0" collapsed="false">
      <c r="B44" s="76" t="s">
        <v>124</v>
      </c>
      <c r="C44" s="144" t="n">
        <v>54600</v>
      </c>
      <c r="D44" s="144" t="n">
        <v>52000</v>
      </c>
      <c r="E44" s="144" t="n">
        <v>57100</v>
      </c>
      <c r="F44" s="145" t="n">
        <v>56850</v>
      </c>
      <c r="G44" s="144" t="n">
        <v>57600</v>
      </c>
      <c r="H44" s="144" t="n">
        <f aca="false">G44*(1+H92)</f>
        <v>60480</v>
      </c>
      <c r="I44" s="144" t="n">
        <f aca="false">H44*(1+I92)</f>
        <v>63504</v>
      </c>
      <c r="J44" s="144" t="n">
        <f aca="false">I44*(1+J92)</f>
        <v>66679.2</v>
      </c>
      <c r="K44" s="144" t="n">
        <f aca="false">J44*(1+K92)</f>
        <v>70013.16</v>
      </c>
    </row>
    <row r="45" customFormat="false" ht="12.75" hidden="false" customHeight="true" outlineLevel="0" collapsed="false">
      <c r="B45" s="1" t="s">
        <v>125</v>
      </c>
      <c r="C45" s="106" t="n">
        <v>42300</v>
      </c>
      <c r="D45" s="106" t="n">
        <v>45600</v>
      </c>
      <c r="E45" s="106" t="n">
        <v>59800</v>
      </c>
      <c r="F45" s="115" t="n">
        <v>70800</v>
      </c>
      <c r="G45" s="106" t="n">
        <v>92800</v>
      </c>
      <c r="H45" s="106" t="n">
        <f aca="false">G45*(1+H93)</f>
        <v>111360</v>
      </c>
      <c r="I45" s="106" t="n">
        <f aca="false">H45*(1+I93)</f>
        <v>133632</v>
      </c>
      <c r="J45" s="106" t="n">
        <f aca="false">I45*(1+J93)</f>
        <v>160358.4</v>
      </c>
      <c r="K45" s="106" t="n">
        <f aca="false">J45*(1+K93)</f>
        <v>192430.08</v>
      </c>
    </row>
    <row r="46" customFormat="false" ht="12.75" hidden="false" customHeight="true" outlineLevel="0" collapsed="false">
      <c r="B46" s="47" t="s">
        <v>126</v>
      </c>
      <c r="C46" s="108" t="n">
        <f aca="false">SUM(C44:C45)</f>
        <v>96900</v>
      </c>
      <c r="D46" s="108" t="n">
        <f aca="false">SUM(D44:D45)</f>
        <v>97600</v>
      </c>
      <c r="E46" s="108" t="n">
        <f aca="false">SUM(E44:E45)</f>
        <v>116900</v>
      </c>
      <c r="F46" s="109" t="n">
        <f aca="false">SUM(F44:F45)</f>
        <v>127650</v>
      </c>
      <c r="G46" s="108" t="n">
        <f aca="false">SUM(G44:G45)</f>
        <v>150400</v>
      </c>
      <c r="H46" s="108" t="n">
        <f aca="false">SUM(H44:H45)</f>
        <v>171840</v>
      </c>
      <c r="I46" s="108" t="n">
        <f aca="false">SUM(I44:I45)</f>
        <v>197136</v>
      </c>
      <c r="J46" s="108" t="n">
        <f aca="false">SUM(J44:J45)</f>
        <v>227037.6</v>
      </c>
      <c r="K46" s="108" t="n">
        <f aca="false">SUM(K44:K45)</f>
        <v>262443.24</v>
      </c>
    </row>
    <row r="47" customFormat="false" ht="12.75" hidden="false" customHeight="true" outlineLevel="0" collapsed="false">
      <c r="F47" s="118"/>
    </row>
    <row r="48" customFormat="false" ht="12.75" hidden="false" customHeight="true" outlineLevel="0" collapsed="false">
      <c r="B48" s="76" t="s">
        <v>127</v>
      </c>
      <c r="C48" s="153" t="n">
        <v>10.63</v>
      </c>
      <c r="D48" s="153" t="n">
        <v>11.21</v>
      </c>
      <c r="E48" s="153" t="n">
        <v>11.89</v>
      </c>
      <c r="F48" s="154" t="n">
        <v>11.65</v>
      </c>
      <c r="G48" s="153" t="n">
        <v>11.65</v>
      </c>
      <c r="H48" s="153" t="n">
        <f aca="false">G48*(1+H96)</f>
        <v>11.9995</v>
      </c>
      <c r="I48" s="153" t="n">
        <f aca="false">H48*(1+I96)</f>
        <v>12.359485</v>
      </c>
      <c r="J48" s="153" t="n">
        <f aca="false">I48*(1+J96)</f>
        <v>12.73026955</v>
      </c>
      <c r="K48" s="153" t="n">
        <f aca="false">J48*(1+K96)</f>
        <v>13.1121776365</v>
      </c>
    </row>
    <row r="49" customFormat="false" ht="12.75" hidden="false" customHeight="true" outlineLevel="0" collapsed="false">
      <c r="B49" s="1" t="s">
        <v>128</v>
      </c>
      <c r="C49" s="155" t="n">
        <v>3.7</v>
      </c>
      <c r="D49" s="155" t="n">
        <v>3.7</v>
      </c>
      <c r="E49" s="155" t="n">
        <v>3.85</v>
      </c>
      <c r="F49" s="156" t="n">
        <v>3.66</v>
      </c>
      <c r="G49" s="155" t="n">
        <v>3.66</v>
      </c>
      <c r="H49" s="155" t="n">
        <f aca="false">G49*(1+H97)</f>
        <v>3.7698</v>
      </c>
      <c r="I49" s="155" t="n">
        <f aca="false">H49*(1+I97)</f>
        <v>3.882894</v>
      </c>
      <c r="J49" s="155" t="n">
        <f aca="false">I49*(1+J97)</f>
        <v>3.99938082</v>
      </c>
      <c r="K49" s="155" t="n">
        <f aca="false">J49*(1+K97)</f>
        <v>4.1193622446</v>
      </c>
    </row>
    <row r="50" customFormat="false" ht="12.75" hidden="false" customHeight="true" outlineLevel="0" collapsed="false">
      <c r="B50" s="47" t="s">
        <v>129</v>
      </c>
      <c r="C50" s="68" t="n">
        <f aca="false">C54/C46</f>
        <v>91.2579566563468</v>
      </c>
      <c r="D50" s="68" t="n">
        <f aca="false">D54/D46</f>
        <v>92.4147540983607</v>
      </c>
      <c r="E50" s="68" t="n">
        <f aca="false">E54/E46</f>
        <v>93.3258169375535</v>
      </c>
      <c r="F50" s="157" t="n">
        <f aca="false">F54/F46</f>
        <v>86.6209635722679</v>
      </c>
      <c r="G50" s="68" t="n">
        <f aca="false">G54/G46</f>
        <v>80.64</v>
      </c>
      <c r="H50" s="68" t="n">
        <f aca="false">H54/H46</f>
        <v>79.9954391061453</v>
      </c>
      <c r="I50" s="68" t="n">
        <f aca="false">I54/I46</f>
        <v>79.3617985420015</v>
      </c>
      <c r="J50" s="68" t="n">
        <f aca="false">J54/J46</f>
        <v>78.7629096853163</v>
      </c>
      <c r="K50" s="68" t="n">
        <f aca="false">K54/K46</f>
        <v>78.2209911944413</v>
      </c>
    </row>
    <row r="51" customFormat="false" ht="12.75" hidden="false" customHeight="true" outlineLevel="0" collapsed="false">
      <c r="F51" s="118"/>
    </row>
    <row r="52" customFormat="false" ht="12.75" hidden="false" customHeight="true" outlineLevel="0" collapsed="false">
      <c r="B52" s="76" t="s">
        <v>130</v>
      </c>
      <c r="C52" s="142" t="n">
        <f aca="false">C44*C48*12</f>
        <v>6964776</v>
      </c>
      <c r="D52" s="142" t="n">
        <f aca="false">D44*D48*12</f>
        <v>6995040</v>
      </c>
      <c r="E52" s="142" t="n">
        <f aca="false">E44*E48*12</f>
        <v>8147028</v>
      </c>
      <c r="F52" s="143" t="n">
        <f aca="false">F44*F48*12</f>
        <v>7947630</v>
      </c>
      <c r="G52" s="142" t="n">
        <f aca="false">G44*G48*12</f>
        <v>8052480</v>
      </c>
      <c r="H52" s="142" t="n">
        <f aca="false">H44*H48*12</f>
        <v>8708757.12</v>
      </c>
      <c r="I52" s="142" t="n">
        <f aca="false">I44*I48*12</f>
        <v>9418520.82528</v>
      </c>
      <c r="J52" s="142" t="n">
        <f aca="false">J44*J48*12</f>
        <v>10186130.2725403</v>
      </c>
      <c r="K52" s="142" t="n">
        <f aca="false">K44*K48*12</f>
        <v>11016299.8897524</v>
      </c>
    </row>
    <row r="53" customFormat="false" ht="12.75" hidden="false" customHeight="true" outlineLevel="0" collapsed="false">
      <c r="B53" s="1" t="s">
        <v>131</v>
      </c>
      <c r="C53" s="106" t="n">
        <f aca="false">C45*C49*12</f>
        <v>1878120</v>
      </c>
      <c r="D53" s="106" t="n">
        <f aca="false">D45*D49*12</f>
        <v>2024640</v>
      </c>
      <c r="E53" s="106" t="n">
        <f aca="false">E45*E49*12</f>
        <v>2762760</v>
      </c>
      <c r="F53" s="115" t="n">
        <f aca="false">F45*F49*12</f>
        <v>3109536</v>
      </c>
      <c r="G53" s="106" t="n">
        <f aca="false">G45*G49*12</f>
        <v>4075776</v>
      </c>
      <c r="H53" s="106" t="n">
        <f aca="false">H45*H49*12</f>
        <v>5037659.136</v>
      </c>
      <c r="I53" s="106" t="n">
        <f aca="false">I45*I49*12</f>
        <v>6226546.692096</v>
      </c>
      <c r="J53" s="106" t="n">
        <f aca="false">J45*J49*12</f>
        <v>7696011.71143066</v>
      </c>
      <c r="K53" s="106" t="n">
        <f aca="false">K45*K49*12</f>
        <v>9512270.47532829</v>
      </c>
    </row>
    <row r="54" customFormat="false" ht="12.75" hidden="false" customHeight="true" outlineLevel="0" collapsed="false">
      <c r="B54" s="47" t="s">
        <v>132</v>
      </c>
      <c r="C54" s="133" t="n">
        <f aca="false">SUM(C52:C53)</f>
        <v>8842896</v>
      </c>
      <c r="D54" s="133" t="n">
        <f aca="false">SUM(D52:D53)</f>
        <v>9019680</v>
      </c>
      <c r="E54" s="133" t="n">
        <f aca="false">SUM(E52:E53)</f>
        <v>10909788</v>
      </c>
      <c r="F54" s="146" t="n">
        <f aca="false">SUM(F52:F53)</f>
        <v>11057166</v>
      </c>
      <c r="G54" s="133" t="n">
        <f aca="false">SUM(G52:G53)</f>
        <v>12128256</v>
      </c>
      <c r="H54" s="133" t="n">
        <f aca="false">SUM(H52:H53)</f>
        <v>13746416.256</v>
      </c>
      <c r="I54" s="133" t="n">
        <f aca="false">SUM(I52:I53)</f>
        <v>15645067.517376</v>
      </c>
      <c r="J54" s="133" t="n">
        <f aca="false">SUM(J52:J53)</f>
        <v>17882141.983971</v>
      </c>
      <c r="K54" s="133" t="n">
        <f aca="false">SUM(K52:K53)</f>
        <v>20528570.3650807</v>
      </c>
    </row>
    <row r="55" customFormat="false" ht="12.75" hidden="false" customHeight="true" outlineLevel="0" collapsed="false">
      <c r="B55" s="47"/>
      <c r="C55" s="147"/>
      <c r="D55" s="147"/>
      <c r="E55" s="147"/>
      <c r="F55" s="148"/>
      <c r="G55" s="147"/>
      <c r="H55" s="147"/>
      <c r="I55" s="147"/>
      <c r="J55" s="147"/>
      <c r="K55" s="147"/>
    </row>
    <row r="56" customFormat="false" ht="12.75" hidden="false" customHeight="true" outlineLevel="0" collapsed="false">
      <c r="B56" s="141" t="s">
        <v>73</v>
      </c>
      <c r="F56" s="118"/>
    </row>
    <row r="57" customFormat="false" ht="12.75" hidden="false" customHeight="true" outlineLevel="0" collapsed="false">
      <c r="B57" s="76" t="s">
        <v>115</v>
      </c>
      <c r="C57" s="142"/>
      <c r="D57" s="158" t="n">
        <f aca="false">D27/C27-1</f>
        <v>-0.116393680243514</v>
      </c>
      <c r="E57" s="158" t="n">
        <f aca="false">E27/D27-1</f>
        <v>-0.0479822834645669</v>
      </c>
      <c r="F57" s="159" t="n">
        <f aca="false">F27/E27-1</f>
        <v>0.0447143964848797</v>
      </c>
      <c r="G57" s="158" t="n">
        <f aca="false">G27/F27-1</f>
        <v>0.0263071086920665</v>
      </c>
      <c r="H57" s="160" t="n">
        <v>0.03</v>
      </c>
      <c r="I57" s="160" t="n">
        <v>0.03</v>
      </c>
      <c r="J57" s="160" t="n">
        <v>0.03</v>
      </c>
      <c r="K57" s="160" t="n">
        <v>0.03</v>
      </c>
    </row>
    <row r="58" customFormat="false" ht="12.75" hidden="false" customHeight="true" outlineLevel="0" collapsed="false">
      <c r="B58" s="1" t="s">
        <v>116</v>
      </c>
      <c r="C58" s="106"/>
      <c r="D58" s="57" t="n">
        <f aca="false">D28/C28-1</f>
        <v>-0.0837574398343828</v>
      </c>
      <c r="E58" s="57" t="n">
        <f aca="false">E28/D28-1</f>
        <v>-0.0503200903784598</v>
      </c>
      <c r="F58" s="111" t="n">
        <f aca="false">F28/E28-1</f>
        <v>-0.149789343246592</v>
      </c>
      <c r="G58" s="57" t="n">
        <f aca="false">G28/F28-1</f>
        <v>-0.130356205911502</v>
      </c>
      <c r="H58" s="112" t="n">
        <v>-0.1</v>
      </c>
      <c r="I58" s="112" t="n">
        <v>-0.1</v>
      </c>
      <c r="J58" s="112" t="n">
        <v>-0.1</v>
      </c>
      <c r="K58" s="112" t="n">
        <v>-0.1</v>
      </c>
    </row>
    <row r="59" customFormat="false" ht="12.75" hidden="false" customHeight="true" outlineLevel="0" collapsed="false">
      <c r="B59" s="76" t="s">
        <v>117</v>
      </c>
      <c r="C59" s="144"/>
      <c r="D59" s="158" t="n">
        <f aca="false">D29/C29-1</f>
        <v>0.0475600949138553</v>
      </c>
      <c r="E59" s="158" t="n">
        <f aca="false">E29/D29-1</f>
        <v>0.0156588536537325</v>
      </c>
      <c r="F59" s="159" t="n">
        <f aca="false">F29/E29-1</f>
        <v>0.0688451469019684</v>
      </c>
      <c r="G59" s="158" t="n">
        <f aca="false">G29/F29-1</f>
        <v>0.0879071033294021</v>
      </c>
      <c r="H59" s="158" t="n">
        <f aca="false">H102</f>
        <v>0.13342068768997</v>
      </c>
      <c r="I59" s="158" t="n">
        <f aca="false">I102</f>
        <v>0.138119727063211</v>
      </c>
      <c r="J59" s="158" t="n">
        <f aca="false">J102</f>
        <v>0.142989121914009</v>
      </c>
      <c r="K59" s="158" t="n">
        <f aca="false">K102</f>
        <v>0.147992806649329</v>
      </c>
    </row>
    <row r="60" customFormat="false" ht="12.75" hidden="false" customHeight="true" outlineLevel="0" collapsed="false">
      <c r="B60" s="1" t="s">
        <v>118</v>
      </c>
      <c r="C60" s="106"/>
      <c r="D60" s="57" t="n">
        <f aca="false">D30/C30-1</f>
        <v>-0.366554997208264</v>
      </c>
      <c r="E60" s="57" t="n">
        <f aca="false">E30/D30-1</f>
        <v>0.222565006610842</v>
      </c>
      <c r="F60" s="111" t="n">
        <f aca="false">F30/E30-1</f>
        <v>-0.0486661860129777</v>
      </c>
      <c r="G60" s="57" t="n">
        <f aca="false">G30/F30-1</f>
        <v>0.015157256536567</v>
      </c>
      <c r="H60" s="112" t="n">
        <v>0</v>
      </c>
      <c r="I60" s="112" t="n">
        <v>0</v>
      </c>
      <c r="J60" s="112" t="n">
        <v>0</v>
      </c>
      <c r="K60" s="112" t="n">
        <v>0</v>
      </c>
    </row>
    <row r="61" customFormat="false" ht="12.75" hidden="false" customHeight="true" outlineLevel="0" collapsed="false">
      <c r="B61" s="47" t="s">
        <v>119</v>
      </c>
      <c r="C61" s="133"/>
      <c r="D61" s="120" t="n">
        <f aca="false">D31/C31-1</f>
        <v>-0.0411648683141895</v>
      </c>
      <c r="E61" s="120" t="n">
        <f aca="false">E31/D31-1</f>
        <v>-0.0484015391689455</v>
      </c>
      <c r="F61" s="121" t="n">
        <f aca="false">F31/E31-1</f>
        <v>-0.0421657638412044</v>
      </c>
      <c r="G61" s="120" t="n">
        <f aca="false">G31/F31-1</f>
        <v>-0.0262326421156042</v>
      </c>
      <c r="H61" s="120" t="n">
        <f aca="false">H31/G31-1</f>
        <v>0.0131324031841342</v>
      </c>
      <c r="I61" s="120" t="n">
        <f aca="false">I31/H31-1</f>
        <v>0.0247423183531235</v>
      </c>
      <c r="J61" s="120" t="n">
        <f aca="false">J31/I31-1</f>
        <v>0.036762078228733</v>
      </c>
      <c r="K61" s="120" t="n">
        <f aca="false">K31/J31-1</f>
        <v>0.0490736323932406</v>
      </c>
    </row>
    <row r="62" customFormat="false" ht="12.75" hidden="false" customHeight="true" outlineLevel="0" collapsed="false">
      <c r="F62" s="118"/>
    </row>
    <row r="63" customFormat="false" ht="12.75" hidden="false" customHeight="true" outlineLevel="0" collapsed="false">
      <c r="B63" s="141" t="s">
        <v>133</v>
      </c>
      <c r="F63" s="118"/>
    </row>
    <row r="64" customFormat="false" ht="12.75" hidden="false" customHeight="true" outlineLevel="0" collapsed="false">
      <c r="B64" s="76" t="s">
        <v>115</v>
      </c>
      <c r="C64" s="142"/>
      <c r="D64" s="158" t="n">
        <f aca="false">D34/C34-1</f>
        <v>-0.205893052018916</v>
      </c>
      <c r="E64" s="158" t="n">
        <f aca="false">E34/D34-1</f>
        <v>-0.243243243243243</v>
      </c>
      <c r="F64" s="159" t="n">
        <f aca="false">F34/E34-1</f>
        <v>0.227602905569007</v>
      </c>
      <c r="G64" s="158" t="n">
        <f aca="false">G34/F34-1</f>
        <v>0.214497041420118</v>
      </c>
      <c r="H64" s="160" t="n">
        <v>0.1</v>
      </c>
      <c r="I64" s="160" t="n">
        <v>0.1</v>
      </c>
      <c r="J64" s="160" t="n">
        <v>0.1</v>
      </c>
      <c r="K64" s="160" t="n">
        <v>0.1</v>
      </c>
    </row>
    <row r="65" customFormat="false" ht="12.75" hidden="false" customHeight="true" outlineLevel="0" collapsed="false">
      <c r="B65" s="1" t="s">
        <v>116</v>
      </c>
      <c r="C65" s="106"/>
      <c r="D65" s="57" t="n">
        <f aca="false">D35/C35-1</f>
        <v>0.214065639651708</v>
      </c>
      <c r="E65" s="57" t="n">
        <f aca="false">E35/D35-1</f>
        <v>-0.100849608297473</v>
      </c>
      <c r="F65" s="111" t="n">
        <f aca="false">F35/E35-1</f>
        <v>-0.139526322248129</v>
      </c>
      <c r="G65" s="57" t="n">
        <f aca="false">G35/F35-1</f>
        <v>-0.0499144324015972</v>
      </c>
      <c r="H65" s="112" t="n">
        <v>-0.05</v>
      </c>
      <c r="I65" s="112" t="n">
        <v>-0.05</v>
      </c>
      <c r="J65" s="112" t="n">
        <v>-0.05</v>
      </c>
      <c r="K65" s="112" t="n">
        <v>-0.05</v>
      </c>
    </row>
    <row r="66" customFormat="false" ht="12.75" hidden="false" customHeight="true" outlineLevel="0" collapsed="false">
      <c r="B66" s="76" t="s">
        <v>117</v>
      </c>
      <c r="C66" s="144"/>
      <c r="D66" s="158" t="n">
        <f aca="false">D36/C36-1</f>
        <v>-1.07310149041874</v>
      </c>
      <c r="E66" s="158" t="n">
        <f aca="false">E36/D36-1</f>
        <v>5.57281553398058</v>
      </c>
      <c r="F66" s="159" t="n">
        <f aca="false">F36/E36-1</f>
        <v>0.939438700147711</v>
      </c>
      <c r="G66" s="158" t="n">
        <f aca="false">G36/F36-1</f>
        <v>0.355141507996954</v>
      </c>
      <c r="H66" s="160" t="n">
        <f aca="false">H36/G36-1</f>
        <v>0.143508866868837</v>
      </c>
      <c r="I66" s="160" t="n">
        <f aca="false">I36/H36-1</f>
        <v>0.163307002140078</v>
      </c>
      <c r="J66" s="160" t="n">
        <f aca="false">J36/I36-1</f>
        <v>0.179639546832204</v>
      </c>
      <c r="K66" s="160" t="n">
        <f aca="false">K36/J36-1</f>
        <v>0.192490750335214</v>
      </c>
    </row>
    <row r="67" customFormat="false" ht="12.75" hidden="false" customHeight="true" outlineLevel="0" collapsed="false">
      <c r="B67" s="1" t="s">
        <v>118</v>
      </c>
      <c r="C67" s="106"/>
      <c r="D67" s="57" t="n">
        <f aca="false">D37/C37-1</f>
        <v>-0.428926441351889</v>
      </c>
      <c r="E67" s="57" t="n">
        <f aca="false">E37/D37-1</f>
        <v>0.258485639686684</v>
      </c>
      <c r="F67" s="111" t="n">
        <f aca="false">F37/E37-1</f>
        <v>0.0650069156293223</v>
      </c>
      <c r="G67" s="57" t="n">
        <f aca="false">G37/F37-1</f>
        <v>0.176818701298702</v>
      </c>
      <c r="H67" s="112" t="n">
        <v>0</v>
      </c>
      <c r="I67" s="112" t="n">
        <v>0</v>
      </c>
      <c r="J67" s="112" t="n">
        <v>0</v>
      </c>
      <c r="K67" s="112" t="n">
        <v>0</v>
      </c>
    </row>
    <row r="68" customFormat="false" ht="12.75" hidden="false" customHeight="true" outlineLevel="0" collapsed="false">
      <c r="B68" s="47" t="s">
        <v>121</v>
      </c>
      <c r="C68" s="133"/>
      <c r="D68" s="120" t="n">
        <f aca="false">D38/C38-1</f>
        <v>0.501545708817901</v>
      </c>
      <c r="E68" s="120" t="n">
        <f aca="false">E38/D38-1</f>
        <v>-0.114509803921569</v>
      </c>
      <c r="F68" s="121" t="n">
        <f aca="false">F38/E38-1</f>
        <v>-0.0242471213463242</v>
      </c>
      <c r="G68" s="120" t="n">
        <f aca="false">G38/F38-1</f>
        <v>0.0316577782820833</v>
      </c>
      <c r="H68" s="120" t="n">
        <f aca="false">H38/G38-1</f>
        <v>0.0185377740460642</v>
      </c>
      <c r="I68" s="120" t="n">
        <f aca="false">I38/H38-1</f>
        <v>0.0309654522990253</v>
      </c>
      <c r="J68" s="120" t="n">
        <f aca="false">J38/I38-1</f>
        <v>0.0442630125041676</v>
      </c>
      <c r="K68" s="120" t="n">
        <f aca="false">K38/J38-1</f>
        <v>0.0581439537285233</v>
      </c>
    </row>
    <row r="69" customFormat="false" ht="12.75" hidden="false" customHeight="true" outlineLevel="0" collapsed="false">
      <c r="F69" s="118"/>
    </row>
    <row r="70" customFormat="false" ht="12.75" hidden="false" customHeight="true" outlineLevel="0" collapsed="false">
      <c r="B70" s="141" t="s">
        <v>134</v>
      </c>
      <c r="F70" s="118"/>
    </row>
    <row r="71" customFormat="false" ht="12.75" hidden="false" customHeight="true" outlineLevel="0" collapsed="false">
      <c r="B71" s="76" t="s">
        <v>115</v>
      </c>
      <c r="C71" s="158" t="n">
        <f aca="false">C34/C27</f>
        <v>0.199231772720684</v>
      </c>
      <c r="D71" s="158" t="n">
        <f aca="false">D34/D27</f>
        <v>0.179051837270341</v>
      </c>
      <c r="E71" s="158" t="n">
        <f aca="false">E34/E27</f>
        <v>0.142327905574222</v>
      </c>
      <c r="F71" s="159" t="n">
        <f aca="false">F34/F27</f>
        <v>0.167243938644236</v>
      </c>
      <c r="G71" s="158" t="n">
        <f aca="false">G34/G27</f>
        <v>0.197910807553234</v>
      </c>
      <c r="H71" s="158" t="n">
        <f aca="false">H34/H27</f>
        <v>0.21136105661025</v>
      </c>
      <c r="I71" s="158" t="n">
        <f aca="false">I34/I27</f>
        <v>0.225725400263374</v>
      </c>
      <c r="J71" s="158" t="n">
        <f aca="false">J34/J27</f>
        <v>0.241065961446322</v>
      </c>
      <c r="K71" s="158" t="n">
        <f aca="false">K34/K27</f>
        <v>0.257449085039761</v>
      </c>
    </row>
    <row r="72" customFormat="false" ht="12.75" hidden="false" customHeight="true" outlineLevel="0" collapsed="false">
      <c r="B72" s="1" t="s">
        <v>116</v>
      </c>
      <c r="C72" s="57" t="n">
        <f aca="false">C35/C28</f>
        <v>0.321961528508583</v>
      </c>
      <c r="D72" s="57" t="n">
        <f aca="false">D35/D28</f>
        <v>0.426614573526643</v>
      </c>
      <c r="E72" s="57" t="n">
        <f aca="false">E35/E28</f>
        <v>0.403915737298637</v>
      </c>
      <c r="F72" s="111" t="n">
        <f aca="false">F35/F28</f>
        <v>0.408791465049846</v>
      </c>
      <c r="G72" s="57" t="n">
        <f aca="false">G35/G28</f>
        <v>0.446604545149829</v>
      </c>
      <c r="H72" s="57" t="n">
        <f aca="false">H35/H28</f>
        <v>0.471415908769264</v>
      </c>
      <c r="I72" s="57" t="n">
        <f aca="false">I35/I28</f>
        <v>0.497605681478667</v>
      </c>
      <c r="J72" s="57" t="n">
        <f aca="false">J35/J28</f>
        <v>0.525250441560816</v>
      </c>
      <c r="K72" s="57" t="n">
        <f aca="false">K35/K28</f>
        <v>0.554431021647528</v>
      </c>
    </row>
    <row r="73" customFormat="false" ht="12.75" hidden="false" customHeight="true" outlineLevel="0" collapsed="false">
      <c r="B73" s="76" t="s">
        <v>117</v>
      </c>
      <c r="C73" s="158" t="n">
        <f aca="false">C36/C29</f>
        <v>-0.145362632827814</v>
      </c>
      <c r="D73" s="158" t="n">
        <f aca="false">D36/D29</f>
        <v>0.0101437857002167</v>
      </c>
      <c r="E73" s="158" t="n">
        <f aca="false">E36/E29</f>
        <v>0.0656453020459614</v>
      </c>
      <c r="F73" s="159" t="n">
        <f aca="false">F36/F29</f>
        <v>0.119114578608364</v>
      </c>
      <c r="G73" s="158" t="n">
        <f aca="false">G36/G29</f>
        <v>0.148373982655103</v>
      </c>
      <c r="H73" s="158" t="n">
        <f aca="false">H36/H29</f>
        <v>0.149694607325858</v>
      </c>
      <c r="I73" s="158" t="n">
        <f aca="false">I36/I29</f>
        <v>0.153007439150651</v>
      </c>
      <c r="J73" s="158" t="n">
        <f aca="false">J36/J29</f>
        <v>0.157913686771911</v>
      </c>
      <c r="K73" s="158" t="n">
        <f aca="false">K36/K29</f>
        <v>0.164034660963131</v>
      </c>
    </row>
    <row r="74" customFormat="false" ht="12.75" hidden="false" customHeight="true" outlineLevel="0" collapsed="false">
      <c r="B74" s="1" t="s">
        <v>118</v>
      </c>
      <c r="C74" s="57" t="n">
        <f aca="false">C37/C30</f>
        <v>0.561697375767728</v>
      </c>
      <c r="D74" s="57" t="n">
        <f aca="false">D37/D30</f>
        <v>0.506390480387836</v>
      </c>
      <c r="E74" s="57" t="n">
        <f aca="false">E37/E30</f>
        <v>0.521268925739005</v>
      </c>
      <c r="F74" s="111" t="n">
        <f aca="false">F37/F30</f>
        <v>0.583554376657825</v>
      </c>
      <c r="G74" s="57" t="n">
        <f aca="false">G37/G30</f>
        <v>0.676484061216872</v>
      </c>
      <c r="H74" s="57" t="n">
        <f aca="false">H37/H30</f>
        <v>0.676484061216872</v>
      </c>
      <c r="I74" s="57" t="n">
        <f aca="false">I37/I30</f>
        <v>0.676484061216872</v>
      </c>
      <c r="J74" s="57" t="n">
        <f aca="false">J37/J30</f>
        <v>0.676484061216872</v>
      </c>
      <c r="K74" s="57" t="n">
        <f aca="false">K37/K30</f>
        <v>0.676484061216872</v>
      </c>
    </row>
    <row r="75" customFormat="false" ht="12.75" hidden="false" customHeight="true" outlineLevel="0" collapsed="false">
      <c r="B75" s="47" t="s">
        <v>121</v>
      </c>
      <c r="C75" s="120" t="n">
        <f aca="false">C38/C31</f>
        <v>0.157628495185056</v>
      </c>
      <c r="D75" s="120" t="n">
        <f aca="false">D38/D31</f>
        <v>0.246847849761622</v>
      </c>
      <c r="E75" s="120" t="n">
        <f aca="false">E38/E31</f>
        <v>0.229699142951603</v>
      </c>
      <c r="F75" s="121" t="n">
        <f aca="false">F38/F31</f>
        <v>0.233996229721477</v>
      </c>
      <c r="G75" s="120" t="n">
        <f aca="false">G38/G31</f>
        <v>0.247907293796864</v>
      </c>
      <c r="H75" s="120" t="n">
        <f aca="false">H38/H31</f>
        <v>0.249229954939809</v>
      </c>
      <c r="I75" s="120" t="n">
        <f aca="false">I38/I31</f>
        <v>0.250743497774083</v>
      </c>
      <c r="J75" s="120" t="n">
        <f aca="false">J38/J31</f>
        <v>0.252557617461032</v>
      </c>
      <c r="K75" s="120" t="n">
        <f aca="false">K38/K31</f>
        <v>0.254741238014738</v>
      </c>
    </row>
    <row r="76" customFormat="false" ht="12.75" hidden="false" customHeight="true" outlineLevel="0" collapsed="false">
      <c r="C76" s="56"/>
      <c r="D76" s="56"/>
      <c r="E76" s="56"/>
      <c r="F76" s="161"/>
      <c r="G76" s="56"/>
      <c r="H76" s="56"/>
      <c r="I76" s="56"/>
      <c r="J76" s="56"/>
      <c r="K76" s="56"/>
    </row>
    <row r="77" customFormat="false" ht="12.75" hidden="false" customHeight="true" outlineLevel="0" collapsed="false">
      <c r="B77" s="141" t="s">
        <v>135</v>
      </c>
      <c r="F77" s="118"/>
    </row>
    <row r="78" customFormat="false" ht="12.75" hidden="false" customHeight="true" outlineLevel="0" collapsed="false">
      <c r="B78" s="76" t="s">
        <v>115</v>
      </c>
      <c r="C78" s="158" t="n">
        <f aca="false">C27/C$31</f>
        <v>0.320176354565495</v>
      </c>
      <c r="D78" s="158" t="n">
        <f aca="false">D27/D$31</f>
        <v>0.295055782773892</v>
      </c>
      <c r="E78" s="158" t="n">
        <f aca="false">E27/E$31</f>
        <v>0.295185778591592</v>
      </c>
      <c r="F78" s="159" t="n">
        <f aca="false">F27/F$31</f>
        <v>0.321960544831798</v>
      </c>
      <c r="G78" s="158" t="n">
        <f aca="false">G27/G$31</f>
        <v>0.339331970006817</v>
      </c>
      <c r="H78" s="158" t="n">
        <f aca="false">H27/H$31</f>
        <v>0.344981493049234</v>
      </c>
      <c r="I78" s="158" t="n">
        <f aca="false">I27/I$31</f>
        <v>0.346751501793903</v>
      </c>
      <c r="J78" s="158" t="n">
        <f aca="false">J27/J$31</f>
        <v>0.344489882826254</v>
      </c>
      <c r="K78" s="158" t="n">
        <f aca="false">K27/K$31</f>
        <v>0.338226572811275</v>
      </c>
    </row>
    <row r="79" customFormat="false" ht="12.75" hidden="false" customHeight="true" outlineLevel="0" collapsed="false">
      <c r="B79" s="1" t="s">
        <v>116</v>
      </c>
      <c r="C79" s="57" t="n">
        <f aca="false">C28/C$31</f>
        <v>0.538020652047801</v>
      </c>
      <c r="D79" s="57" t="n">
        <f aca="false">D28/D$31</f>
        <v>0.51412114905254</v>
      </c>
      <c r="E79" s="57" t="n">
        <f aca="false">E28/E$31</f>
        <v>0.513084611276417</v>
      </c>
      <c r="F79" s="111" t="n">
        <f aca="false">F28/F$31</f>
        <v>0.455433714786395</v>
      </c>
      <c r="G79" s="57" t="n">
        <f aca="false">G28/G$31</f>
        <v>0.406734832992502</v>
      </c>
      <c r="H79" s="57" t="n">
        <f aca="false">H28/H$31</f>
        <v>0.361316397089632</v>
      </c>
      <c r="I79" s="57" t="n">
        <f aca="false">I28/I$31</f>
        <v>0.317333198362762</v>
      </c>
      <c r="J79" s="57" t="n">
        <f aca="false">J28/J$31</f>
        <v>0.27547292143866</v>
      </c>
      <c r="K79" s="57" t="n">
        <f aca="false">K28/K$31</f>
        <v>0.236328148605932</v>
      </c>
    </row>
    <row r="80" customFormat="false" ht="12.75" hidden="false" customHeight="true" outlineLevel="0" collapsed="false">
      <c r="B80" s="76" t="s">
        <v>117</v>
      </c>
      <c r="C80" s="158" t="n">
        <f aca="false">C29/C$31</f>
        <v>0.224921684650191</v>
      </c>
      <c r="D80" s="158" t="n">
        <f aca="false">D29/D$31</f>
        <v>0.245734614360737</v>
      </c>
      <c r="E80" s="158" t="n">
        <f aca="false">E29/E$31</f>
        <v>0.26227715470105</v>
      </c>
      <c r="F80" s="159" t="n">
        <f aca="false">F29/F$31</f>
        <v>0.29267450813796</v>
      </c>
      <c r="G80" s="158" t="n">
        <f aca="false">G29/G$31</f>
        <v>0.326980231765508</v>
      </c>
      <c r="H80" s="158" t="n">
        <f aca="false">H29/H$31</f>
        <v>0.365802295913075</v>
      </c>
      <c r="I80" s="158" t="n">
        <f aca="false">I29/I$31</f>
        <v>0.406274632878214</v>
      </c>
      <c r="J80" s="158" t="n">
        <f aca="false">J29/J$31</f>
        <v>0.447901688961039</v>
      </c>
      <c r="K80" s="158" t="n">
        <f aca="false">K29/K$31</f>
        <v>0.490135202273978</v>
      </c>
    </row>
    <row r="81" customFormat="false" ht="12.75" hidden="false" customHeight="true" outlineLevel="0" collapsed="false">
      <c r="B81" s="1" t="s">
        <v>118</v>
      </c>
      <c r="C81" s="57" t="n">
        <f aca="false">C30/C$31</f>
        <v>-0.0831186912634876</v>
      </c>
      <c r="D81" s="57" t="n">
        <f aca="false">D30/D$31</f>
        <v>-0.0549115461871688</v>
      </c>
      <c r="E81" s="57" t="n">
        <f aca="false">E30/E$31</f>
        <v>-0.0705475445690598</v>
      </c>
      <c r="F81" s="111" t="n">
        <f aca="false">F30/F$31</f>
        <v>-0.0700687677561533</v>
      </c>
      <c r="G81" s="57" t="n">
        <f aca="false">G30/G$31</f>
        <v>-0.0730470347648262</v>
      </c>
      <c r="H81" s="57" t="n">
        <f aca="false">H30/H$31</f>
        <v>-0.072100186051941</v>
      </c>
      <c r="I81" s="57" t="n">
        <f aca="false">I30/I$31</f>
        <v>-0.0703593330348786</v>
      </c>
      <c r="J81" s="57" t="n">
        <f aca="false">J30/J$31</f>
        <v>-0.0678644932259528</v>
      </c>
      <c r="K81" s="57" t="n">
        <f aca="false">K30/K$31</f>
        <v>-0.0646899236911848</v>
      </c>
    </row>
    <row r="82" customFormat="false" ht="12.75" hidden="false" customHeight="true" outlineLevel="0" collapsed="false">
      <c r="B82" s="47" t="s">
        <v>119</v>
      </c>
      <c r="C82" s="120" t="n">
        <f aca="false">C31/C$31</f>
        <v>1</v>
      </c>
      <c r="D82" s="120" t="n">
        <f aca="false">D31/D$31</f>
        <v>1</v>
      </c>
      <c r="E82" s="120" t="n">
        <f aca="false">E31/E$31</f>
        <v>1</v>
      </c>
      <c r="F82" s="121" t="n">
        <f aca="false">F31/F$31</f>
        <v>1</v>
      </c>
      <c r="G82" s="120" t="n">
        <f aca="false">G31/G$31</f>
        <v>1</v>
      </c>
      <c r="H82" s="120" t="n">
        <f aca="false">H31/H$31</f>
        <v>1</v>
      </c>
      <c r="I82" s="120" t="n">
        <f aca="false">I31/I$31</f>
        <v>1</v>
      </c>
      <c r="J82" s="120" t="n">
        <f aca="false">J31/J$31</f>
        <v>1</v>
      </c>
      <c r="K82" s="120" t="n">
        <f aca="false">K31/K$31</f>
        <v>1</v>
      </c>
    </row>
    <row r="83" customFormat="false" ht="12.75" hidden="false" customHeight="true" outlineLevel="0" collapsed="false">
      <c r="F83" s="118"/>
    </row>
    <row r="84" customFormat="false" ht="12.75" hidden="false" customHeight="true" outlineLevel="0" collapsed="false">
      <c r="B84" s="141" t="s">
        <v>136</v>
      </c>
      <c r="F84" s="118"/>
    </row>
    <row r="85" customFormat="false" ht="12.75" hidden="false" customHeight="true" outlineLevel="0" collapsed="false">
      <c r="B85" s="76" t="s">
        <v>115</v>
      </c>
      <c r="C85" s="158" t="n">
        <f aca="false">C34/C$38</f>
        <v>0.404681289562785</v>
      </c>
      <c r="D85" s="158" t="n">
        <f aca="false">D34/D$38</f>
        <v>0.214019607843137</v>
      </c>
      <c r="E85" s="158" t="n">
        <f aca="false">E34/E$38</f>
        <v>0.182905225863596</v>
      </c>
      <c r="F85" s="159" t="n">
        <f aca="false">F34/F$38</f>
        <v>0.230114603426756</v>
      </c>
      <c r="G85" s="158" t="n">
        <f aca="false">G34/G$38</f>
        <v>0.270897492300924</v>
      </c>
      <c r="H85" s="158" t="n">
        <f aca="false">H34/H$38</f>
        <v>0.292563760642165</v>
      </c>
      <c r="I85" s="158" t="n">
        <f aca="false">I34/I$38</f>
        <v>0.312154142496949</v>
      </c>
      <c r="J85" s="158" t="n">
        <f aca="false">J34/J$38</f>
        <v>0.328815205207006</v>
      </c>
      <c r="K85" s="158" t="n">
        <f aca="false">K34/K$38</f>
        <v>0.34182185179362</v>
      </c>
    </row>
    <row r="86" customFormat="false" ht="12.75" hidden="false" customHeight="true" outlineLevel="0" collapsed="false">
      <c r="B86" s="1" t="s">
        <v>116</v>
      </c>
      <c r="C86" s="57" t="n">
        <f aca="false">C35/C$38</f>
        <v>1.09892536434565</v>
      </c>
      <c r="D86" s="57" t="n">
        <f aca="false">D35/D$38</f>
        <v>0.888529411764706</v>
      </c>
      <c r="E86" s="57" t="n">
        <f aca="false">E35/E$38</f>
        <v>0.902236492471214</v>
      </c>
      <c r="F86" s="111" t="n">
        <f aca="false">F35/F$38</f>
        <v>0.795642800408487</v>
      </c>
      <c r="G86" s="57" t="n">
        <f aca="false">G35/G$38</f>
        <v>0.732732072151342</v>
      </c>
      <c r="H86" s="57" t="n">
        <f aca="false">H35/H$38</f>
        <v>0.683426266832096</v>
      </c>
      <c r="I86" s="57" t="n">
        <f aca="false">I35/I$38</f>
        <v>0.629754325950176</v>
      </c>
      <c r="J86" s="57" t="n">
        <f aca="false">J35/J$38</f>
        <v>0.572907976715569</v>
      </c>
      <c r="K86" s="57" t="n">
        <f aca="false">K35/K$38</f>
        <v>0.51435589265714</v>
      </c>
    </row>
    <row r="87" customFormat="false" ht="12.75" hidden="false" customHeight="true" outlineLevel="0" collapsed="false">
      <c r="B87" s="76" t="s">
        <v>117</v>
      </c>
      <c r="C87" s="158" t="n">
        <f aca="false">C36/C$38</f>
        <v>-0.207419402325924</v>
      </c>
      <c r="D87" s="158" t="n">
        <f aca="false">D36/D$38</f>
        <v>0.0100980392156863</v>
      </c>
      <c r="E87" s="158" t="n">
        <f aca="false">E36/E$38</f>
        <v>0.074955713020372</v>
      </c>
      <c r="F87" s="159" t="n">
        <f aca="false">F36/F$38</f>
        <v>0.148984454782707</v>
      </c>
      <c r="G87" s="158" t="n">
        <f aca="false">G36/G$38</f>
        <v>0.195699604047514</v>
      </c>
      <c r="H87" s="158" t="n">
        <f aca="false">H36/H$38</f>
        <v>0.219711274508836</v>
      </c>
      <c r="I87" s="158" t="n">
        <f aca="false">I36/I$38</f>
        <v>0.247914868063995</v>
      </c>
      <c r="J87" s="158" t="n">
        <f aca="false">J36/J$38</f>
        <v>0.280054142600219</v>
      </c>
      <c r="K87" s="158" t="n">
        <f aca="false">K36/K$38</f>
        <v>0.315611097589375</v>
      </c>
    </row>
    <row r="88" customFormat="false" ht="12.75" hidden="false" customHeight="true" outlineLevel="0" collapsed="false">
      <c r="B88" s="1" t="s">
        <v>118</v>
      </c>
      <c r="C88" s="57" t="n">
        <f aca="false">C37/C$38</f>
        <v>-0.296187251582511</v>
      </c>
      <c r="D88" s="57" t="n">
        <f aca="false">D37/D$38</f>
        <v>-0.112647058823529</v>
      </c>
      <c r="E88" s="57" t="n">
        <f aca="false">E37/E$38</f>
        <v>-0.160097431355182</v>
      </c>
      <c r="F88" s="111" t="n">
        <f aca="false">F37/F$38</f>
        <v>-0.174741858617951</v>
      </c>
      <c r="G88" s="57" t="n">
        <f aca="false">G37/G$38</f>
        <v>-0.19932916849978</v>
      </c>
      <c r="H88" s="57" t="n">
        <f aca="false">H37/H$38</f>
        <v>-0.195701301983097</v>
      </c>
      <c r="I88" s="57" t="n">
        <f aca="false">I37/I$38</f>
        <v>-0.18982333651112</v>
      </c>
      <c r="J88" s="57" t="n">
        <f aca="false">J37/J$38</f>
        <v>-0.181777324522793</v>
      </c>
      <c r="K88" s="57" t="n">
        <f aca="false">K37/K$38</f>
        <v>-0.171788842040135</v>
      </c>
    </row>
    <row r="89" customFormat="false" ht="12.75" hidden="false" customHeight="true" outlineLevel="0" collapsed="false">
      <c r="B89" s="47" t="s">
        <v>121</v>
      </c>
      <c r="C89" s="120" t="n">
        <f aca="false">C38/C$38</f>
        <v>1</v>
      </c>
      <c r="D89" s="120" t="n">
        <f aca="false">D38/D$38</f>
        <v>1</v>
      </c>
      <c r="E89" s="120" t="n">
        <f aca="false">E38/E$38</f>
        <v>1</v>
      </c>
      <c r="F89" s="121" t="n">
        <f aca="false">F38/F$38</f>
        <v>1</v>
      </c>
      <c r="G89" s="120" t="n">
        <f aca="false">G38/G$38</f>
        <v>1</v>
      </c>
      <c r="H89" s="120" t="n">
        <f aca="false">H38/H$38</f>
        <v>1</v>
      </c>
      <c r="I89" s="120" t="n">
        <f aca="false">I38/I$38</f>
        <v>1</v>
      </c>
      <c r="J89" s="120" t="n">
        <f aca="false">J38/J$38</f>
        <v>1</v>
      </c>
      <c r="K89" s="120" t="n">
        <f aca="false">K38/K$38</f>
        <v>1</v>
      </c>
    </row>
    <row r="90" customFormat="false" ht="12.75" hidden="false" customHeight="true" outlineLevel="0" collapsed="false">
      <c r="F90" s="118"/>
    </row>
    <row r="91" customFormat="false" ht="12.75" hidden="false" customHeight="true" outlineLevel="0" collapsed="false">
      <c r="B91" s="141" t="s">
        <v>137</v>
      </c>
      <c r="F91" s="118"/>
    </row>
    <row r="92" customFormat="false" ht="12.75" hidden="false" customHeight="true" outlineLevel="0" collapsed="false">
      <c r="B92" s="76" t="s">
        <v>124</v>
      </c>
      <c r="C92" s="144"/>
      <c r="D92" s="158" t="n">
        <f aca="false">D44/C44-1</f>
        <v>-0.0476190476190477</v>
      </c>
      <c r="E92" s="158" t="n">
        <f aca="false">E44/D44-1</f>
        <v>0.0980769230769232</v>
      </c>
      <c r="F92" s="159" t="n">
        <f aca="false">F44/E44-1</f>
        <v>-0.00437828371278459</v>
      </c>
      <c r="G92" s="158" t="n">
        <f aca="false">G44/F44-1</f>
        <v>0.0131926121372032</v>
      </c>
      <c r="H92" s="160" t="n">
        <v>0.05</v>
      </c>
      <c r="I92" s="160" t="n">
        <v>0.05</v>
      </c>
      <c r="J92" s="160" t="n">
        <v>0.05</v>
      </c>
      <c r="K92" s="160" t="n">
        <v>0.05</v>
      </c>
    </row>
    <row r="93" customFormat="false" ht="12.75" hidden="false" customHeight="true" outlineLevel="0" collapsed="false">
      <c r="B93" s="1" t="s">
        <v>125</v>
      </c>
      <c r="C93" s="106"/>
      <c r="D93" s="57" t="n">
        <f aca="false">D45/C45-1</f>
        <v>0.0780141843971631</v>
      </c>
      <c r="E93" s="57" t="n">
        <f aca="false">E45/D45-1</f>
        <v>0.31140350877193</v>
      </c>
      <c r="F93" s="111" t="n">
        <f aca="false">F45/E45-1</f>
        <v>0.183946488294314</v>
      </c>
      <c r="G93" s="57" t="n">
        <f aca="false">G45/F45-1</f>
        <v>0.310734463276836</v>
      </c>
      <c r="H93" s="112" t="n">
        <v>0.2</v>
      </c>
      <c r="I93" s="112" t="n">
        <v>0.2</v>
      </c>
      <c r="J93" s="112" t="n">
        <v>0.2</v>
      </c>
      <c r="K93" s="112" t="n">
        <v>0.2</v>
      </c>
    </row>
    <row r="94" customFormat="false" ht="12.75" hidden="false" customHeight="true" outlineLevel="0" collapsed="false">
      <c r="B94" s="47" t="s">
        <v>126</v>
      </c>
      <c r="C94" s="108"/>
      <c r="D94" s="120" t="n">
        <f aca="false">D46/C46-1</f>
        <v>0.00722394220846234</v>
      </c>
      <c r="E94" s="120" t="n">
        <f aca="false">E46/D46-1</f>
        <v>0.197745901639344</v>
      </c>
      <c r="F94" s="121" t="n">
        <f aca="false">F46/E46-1</f>
        <v>0.0919589392643285</v>
      </c>
      <c r="G94" s="120" t="n">
        <f aca="false">G46/F46-1</f>
        <v>0.17822169996083</v>
      </c>
      <c r="H94" s="120" t="n">
        <f aca="false">H46/G46-1</f>
        <v>0.142553191489362</v>
      </c>
      <c r="I94" s="120" t="n">
        <f aca="false">I46/H46-1</f>
        <v>0.147206703910615</v>
      </c>
      <c r="J94" s="120" t="n">
        <f aca="false">J46/I46-1</f>
        <v>0.151680058436815</v>
      </c>
      <c r="K94" s="120" t="n">
        <f aca="false">K46/J46-1</f>
        <v>0.155946151650652</v>
      </c>
    </row>
    <row r="95" customFormat="false" ht="12.75" hidden="false" customHeight="true" outlineLevel="0" collapsed="false">
      <c r="F95" s="118"/>
    </row>
    <row r="96" customFormat="false" ht="12.75" hidden="false" customHeight="true" outlineLevel="0" collapsed="false">
      <c r="B96" s="76" t="s">
        <v>127</v>
      </c>
      <c r="C96" s="153"/>
      <c r="D96" s="158" t="n">
        <f aca="false">D48/C48-1</f>
        <v>0.0545625587958607</v>
      </c>
      <c r="E96" s="158" t="n">
        <f aca="false">E48/D48-1</f>
        <v>0.0606601248884924</v>
      </c>
      <c r="F96" s="159" t="n">
        <f aca="false">F48/E48-1</f>
        <v>-0.0201850294365012</v>
      </c>
      <c r="G96" s="158" t="n">
        <f aca="false">G48/F48-1</f>
        <v>0</v>
      </c>
      <c r="H96" s="160" t="n">
        <v>0.03</v>
      </c>
      <c r="I96" s="160" t="n">
        <v>0.03</v>
      </c>
      <c r="J96" s="160" t="n">
        <v>0.03</v>
      </c>
      <c r="K96" s="160" t="n">
        <v>0.03</v>
      </c>
    </row>
    <row r="97" customFormat="false" ht="12.75" hidden="false" customHeight="true" outlineLevel="0" collapsed="false">
      <c r="B97" s="1" t="s">
        <v>128</v>
      </c>
      <c r="C97" s="155"/>
      <c r="D97" s="57" t="n">
        <f aca="false">D49/C49-1</f>
        <v>0</v>
      </c>
      <c r="E97" s="57" t="n">
        <f aca="false">E49/D49-1</f>
        <v>0.0405405405405406</v>
      </c>
      <c r="F97" s="111" t="n">
        <f aca="false">F49/E49-1</f>
        <v>-0.0493506493506494</v>
      </c>
      <c r="G97" s="57" t="n">
        <f aca="false">G49/F49-1</f>
        <v>0</v>
      </c>
      <c r="H97" s="112" t="n">
        <v>0.03</v>
      </c>
      <c r="I97" s="112" t="n">
        <v>0.03</v>
      </c>
      <c r="J97" s="112" t="n">
        <v>0.03</v>
      </c>
      <c r="K97" s="112" t="n">
        <v>0.03</v>
      </c>
    </row>
    <row r="98" customFormat="false" ht="12.75" hidden="false" customHeight="true" outlineLevel="0" collapsed="false">
      <c r="B98" s="47" t="s">
        <v>129</v>
      </c>
      <c r="C98" s="68"/>
      <c r="D98" s="120" t="n">
        <f aca="false">D50/C50-1</f>
        <v>0.0126761269307192</v>
      </c>
      <c r="E98" s="120" t="n">
        <f aca="false">E50/D50-1</f>
        <v>0.00985841328131576</v>
      </c>
      <c r="F98" s="121" t="n">
        <f aca="false">F50/E50-1</f>
        <v>-0.0718435003871643</v>
      </c>
      <c r="G98" s="120" t="n">
        <f aca="false">G50/F50-1</f>
        <v>-0.0690475299005189</v>
      </c>
      <c r="H98" s="120" t="n">
        <f aca="false">H50/G50-1</f>
        <v>-0.00799306664006383</v>
      </c>
      <c r="I98" s="120" t="n">
        <f aca="false">I50/H50-1</f>
        <v>-0.00792095863494191</v>
      </c>
      <c r="J98" s="120" t="n">
        <f aca="false">J50/I50-1</f>
        <v>-0.00754631154645724</v>
      </c>
      <c r="K98" s="120" t="n">
        <f aca="false">K50/J50-1</f>
        <v>-0.00688037672859165</v>
      </c>
    </row>
    <row r="99" customFormat="false" ht="12.75" hidden="false" customHeight="true" outlineLevel="0" collapsed="false">
      <c r="F99" s="118"/>
    </row>
    <row r="100" customFormat="false" ht="12.75" hidden="false" customHeight="true" outlineLevel="0" collapsed="false">
      <c r="B100" s="76" t="s">
        <v>130</v>
      </c>
      <c r="C100" s="142"/>
      <c r="D100" s="158" t="n">
        <f aca="false">D52/C52-1</f>
        <v>0.00434529409129603</v>
      </c>
      <c r="E100" s="158" t="n">
        <f aca="false">E52/D52-1</f>
        <v>0.164686406367941</v>
      </c>
      <c r="F100" s="159" t="n">
        <f aca="false">F52/E52-1</f>
        <v>-0.0244749373636619</v>
      </c>
      <c r="G100" s="158" t="n">
        <f aca="false">G52/F52-1</f>
        <v>0.0131926121372032</v>
      </c>
      <c r="H100" s="158" t="n">
        <f aca="false">H52/G52-1</f>
        <v>0.0815000000000001</v>
      </c>
      <c r="I100" s="158" t="n">
        <f aca="false">I52/H52-1</f>
        <v>0.0815000000000001</v>
      </c>
      <c r="J100" s="158" t="n">
        <f aca="false">J52/I52-1</f>
        <v>0.0814999999999999</v>
      </c>
      <c r="K100" s="158" t="n">
        <f aca="false">K52/J52-1</f>
        <v>0.0815000000000001</v>
      </c>
    </row>
    <row r="101" customFormat="false" ht="12.75" hidden="false" customHeight="true" outlineLevel="0" collapsed="false">
      <c r="B101" s="1" t="s">
        <v>131</v>
      </c>
      <c r="C101" s="106"/>
      <c r="D101" s="57" t="n">
        <f aca="false">D53/C53-1</f>
        <v>0.0780141843971631</v>
      </c>
      <c r="E101" s="57" t="n">
        <f aca="false">E53/D53-1</f>
        <v>0.364568515884305</v>
      </c>
      <c r="F101" s="111" t="n">
        <f aca="false">F53/E53-1</f>
        <v>0.125517960300569</v>
      </c>
      <c r="G101" s="57" t="n">
        <f aca="false">G53/F53-1</f>
        <v>0.310734463276836</v>
      </c>
      <c r="H101" s="57" t="n">
        <f aca="false">H53/G53-1</f>
        <v>0.236</v>
      </c>
      <c r="I101" s="57" t="n">
        <f aca="false">I53/H53-1</f>
        <v>0.236</v>
      </c>
      <c r="J101" s="57" t="n">
        <f aca="false">J53/I53-1</f>
        <v>0.236</v>
      </c>
      <c r="K101" s="57" t="n">
        <f aca="false">K53/J53-1</f>
        <v>0.236</v>
      </c>
    </row>
    <row r="102" customFormat="false" ht="12.75" hidden="false" customHeight="true" outlineLevel="0" collapsed="false">
      <c r="B102" s="47" t="s">
        <v>132</v>
      </c>
      <c r="C102" s="133"/>
      <c r="D102" s="120" t="n">
        <f aca="false">D54/C54-1</f>
        <v>0.019991640747556</v>
      </c>
      <c r="E102" s="120" t="n">
        <f aca="false">E54/D54-1</f>
        <v>0.209553775743707</v>
      </c>
      <c r="F102" s="121" t="n">
        <f aca="false">F54/E54-1</f>
        <v>0.0135087867885242</v>
      </c>
      <c r="G102" s="120" t="n">
        <f aca="false">G54/F54-1</f>
        <v>0.0968684019033448</v>
      </c>
      <c r="H102" s="120" t="n">
        <f aca="false">H54/G54-1</f>
        <v>0.13342068768997</v>
      </c>
      <c r="I102" s="120" t="n">
        <f aca="false">I54/H54-1</f>
        <v>0.138119727063211</v>
      </c>
      <c r="J102" s="120" t="n">
        <f aca="false">J54/I54-1</f>
        <v>0.142989121914009</v>
      </c>
      <c r="K102" s="120" t="n">
        <f aca="false">K54/J54-1</f>
        <v>0.147992806649329</v>
      </c>
    </row>
    <row r="103" customFormat="false" ht="12.75" hidden="false" customHeight="true" outlineLevel="0" collapsed="false">
      <c r="F103" s="118"/>
    </row>
    <row r="104" customFormat="false" ht="12.75" hidden="false" customHeight="true" outlineLevel="0" collapsed="false">
      <c r="B104" s="76" t="s">
        <v>138</v>
      </c>
      <c r="C104" s="76"/>
      <c r="D104" s="76"/>
      <c r="E104" s="76"/>
      <c r="F104" s="162"/>
      <c r="G104" s="144" t="n">
        <f aca="false">G46-F46</f>
        <v>22750</v>
      </c>
      <c r="H104" s="144" t="n">
        <f aca="false">H46-G46</f>
        <v>21440</v>
      </c>
      <c r="I104" s="144" t="n">
        <f aca="false">I46-H46</f>
        <v>25296</v>
      </c>
      <c r="J104" s="144" t="n">
        <f aca="false">J46-I46</f>
        <v>29901.6</v>
      </c>
      <c r="K104" s="144" t="n">
        <f aca="false">K46-J46</f>
        <v>35405.64</v>
      </c>
    </row>
    <row r="105" customFormat="false" ht="12.75" hidden="false" customHeight="true" outlineLevel="0" collapsed="false">
      <c r="B105" s="1" t="s">
        <v>139</v>
      </c>
      <c r="F105" s="118"/>
      <c r="G105" s="106" t="n">
        <f aca="false">G50</f>
        <v>80.64</v>
      </c>
      <c r="H105" s="106" t="n">
        <f aca="false">H50</f>
        <v>79.9954391061453</v>
      </c>
      <c r="I105" s="106" t="n">
        <f aca="false">I50</f>
        <v>79.3617985420015</v>
      </c>
      <c r="J105" s="106" t="n">
        <f aca="false">J50</f>
        <v>78.7629096853163</v>
      </c>
      <c r="K105" s="106" t="n">
        <f aca="false">K50</f>
        <v>78.2209911944413</v>
      </c>
    </row>
    <row r="106" customFormat="false" ht="12.75" hidden="false" customHeight="true" outlineLevel="0" collapsed="false">
      <c r="B106" s="47" t="s">
        <v>140</v>
      </c>
      <c r="C106" s="47"/>
      <c r="D106" s="47"/>
      <c r="E106" s="47"/>
      <c r="F106" s="163"/>
      <c r="G106" s="108" t="n">
        <f aca="false">G104*G105</f>
        <v>1834560</v>
      </c>
      <c r="H106" s="108" t="n">
        <f aca="false">H104*H105</f>
        <v>1715102.21443575</v>
      </c>
      <c r="I106" s="108" t="n">
        <f aca="false">I104*I105</f>
        <v>2007536.05591847</v>
      </c>
      <c r="J106" s="108" t="n">
        <f aca="false">J104*J105</f>
        <v>2355137.02024645</v>
      </c>
      <c r="K106" s="108" t="n">
        <f aca="false">K104*K105</f>
        <v>2769464.25467356</v>
      </c>
    </row>
    <row r="107" customFormat="false" ht="12.75" hidden="false" customHeight="true" outlineLevel="0" collapsed="false">
      <c r="B107" s="47"/>
      <c r="C107" s="47"/>
      <c r="D107" s="47"/>
      <c r="E107" s="47"/>
      <c r="F107" s="163"/>
      <c r="G107" s="164"/>
      <c r="H107" s="164"/>
      <c r="I107" s="164"/>
      <c r="J107" s="164"/>
      <c r="K107" s="164"/>
    </row>
    <row r="108" customFormat="false" ht="12.75" hidden="false" customHeight="true" outlineLevel="0" collapsed="false">
      <c r="B108" s="76" t="s">
        <v>141</v>
      </c>
      <c r="C108" s="165"/>
      <c r="D108" s="165"/>
      <c r="E108" s="165"/>
      <c r="F108" s="166"/>
      <c r="G108" s="144" t="n">
        <f aca="false">G46</f>
        <v>150400</v>
      </c>
      <c r="H108" s="144" t="n">
        <f aca="false">H46</f>
        <v>171840</v>
      </c>
      <c r="I108" s="144" t="n">
        <f aca="false">I46</f>
        <v>197136</v>
      </c>
      <c r="J108" s="144" t="n">
        <f aca="false">J46</f>
        <v>227037.6</v>
      </c>
      <c r="K108" s="144" t="n">
        <f aca="false">K46</f>
        <v>262443.24</v>
      </c>
    </row>
    <row r="109" customFormat="false" ht="12.75" hidden="false" customHeight="true" outlineLevel="0" collapsed="false">
      <c r="B109" s="1" t="s">
        <v>142</v>
      </c>
      <c r="C109" s="47"/>
      <c r="D109" s="47"/>
      <c r="E109" s="47"/>
      <c r="F109" s="163"/>
      <c r="G109" s="112" t="n">
        <v>0.1</v>
      </c>
      <c r="H109" s="112" t="n">
        <v>0.1</v>
      </c>
      <c r="I109" s="112" t="n">
        <v>0.1</v>
      </c>
      <c r="J109" s="112" t="n">
        <v>0.1</v>
      </c>
      <c r="K109" s="112" t="n">
        <v>0.1</v>
      </c>
    </row>
    <row r="110" customFormat="false" ht="12.75" hidden="false" customHeight="true" outlineLevel="0" collapsed="false">
      <c r="B110" s="76" t="s">
        <v>139</v>
      </c>
      <c r="C110" s="165"/>
      <c r="D110" s="165"/>
      <c r="E110" s="165"/>
      <c r="F110" s="166"/>
      <c r="G110" s="144" t="n">
        <f aca="false">G105</f>
        <v>80.64</v>
      </c>
      <c r="H110" s="144" t="n">
        <f aca="false">H105</f>
        <v>79.9954391061453</v>
      </c>
      <c r="I110" s="144" t="n">
        <f aca="false">I105</f>
        <v>79.3617985420015</v>
      </c>
      <c r="J110" s="144" t="n">
        <f aca="false">J105</f>
        <v>78.7629096853163</v>
      </c>
      <c r="K110" s="144" t="n">
        <f aca="false">K105</f>
        <v>78.2209911944413</v>
      </c>
    </row>
    <row r="111" customFormat="false" ht="12.75" hidden="false" customHeight="true" outlineLevel="0" collapsed="false">
      <c r="B111" s="47" t="s">
        <v>143</v>
      </c>
      <c r="C111" s="47"/>
      <c r="D111" s="47"/>
      <c r="E111" s="47"/>
      <c r="F111" s="163"/>
      <c r="G111" s="108" t="n">
        <f aca="false">-G108*G109*G110</f>
        <v>-1212825.6</v>
      </c>
      <c r="H111" s="108" t="n">
        <f aca="false">-H108*H109*H110</f>
        <v>-1374641.6256</v>
      </c>
      <c r="I111" s="108" t="n">
        <f aca="false">-I108*I109*I110</f>
        <v>-1564506.7517376</v>
      </c>
      <c r="J111" s="108" t="n">
        <f aca="false">-J108*J109*J110</f>
        <v>-1788214.1983971</v>
      </c>
      <c r="K111" s="108" t="n">
        <f aca="false">-K108*K109*K110</f>
        <v>-2052857.03650807</v>
      </c>
    </row>
    <row r="112" customFormat="false" ht="12.75" hidden="false" customHeight="true" outlineLevel="0" collapsed="false">
      <c r="C112" s="47"/>
      <c r="D112" s="47"/>
      <c r="E112" s="47"/>
      <c r="F112" s="163"/>
      <c r="G112" s="106"/>
      <c r="H112" s="106"/>
      <c r="I112" s="106"/>
      <c r="J112" s="106"/>
      <c r="K112" s="106"/>
    </row>
    <row r="113" customFormat="false" ht="12.75" hidden="false" customHeight="true" outlineLevel="0" collapsed="false">
      <c r="B113" s="76" t="s">
        <v>144</v>
      </c>
      <c r="C113" s="165"/>
      <c r="D113" s="165"/>
      <c r="E113" s="165"/>
      <c r="F113" s="166"/>
      <c r="G113" s="144" t="n">
        <f aca="false">G106+G111</f>
        <v>621734.4</v>
      </c>
      <c r="H113" s="144" t="n">
        <f aca="false">H106+H111</f>
        <v>340460.588835754</v>
      </c>
      <c r="I113" s="144" t="n">
        <f aca="false">I106+I111</f>
        <v>443029.304180869</v>
      </c>
      <c r="J113" s="144" t="n">
        <f aca="false">J106+J111</f>
        <v>566922.821849356</v>
      </c>
      <c r="K113" s="144" t="n">
        <f aca="false">K106+K111</f>
        <v>716607.218165495</v>
      </c>
    </row>
    <row r="114" customFormat="false" ht="12.75" hidden="false" customHeight="true" outlineLevel="0" collapsed="false">
      <c r="B114" s="1" t="s">
        <v>145</v>
      </c>
      <c r="F114" s="118"/>
      <c r="G114" s="112" t="n">
        <v>0.75</v>
      </c>
      <c r="H114" s="112" t="n">
        <v>0.75</v>
      </c>
      <c r="I114" s="112" t="n">
        <v>0.75</v>
      </c>
      <c r="J114" s="112" t="n">
        <v>0.75</v>
      </c>
      <c r="K114" s="112" t="n">
        <v>0.75</v>
      </c>
    </row>
    <row r="115" customFormat="false" ht="12.75" hidden="false" customHeight="true" outlineLevel="0" collapsed="false">
      <c r="B115" s="47" t="s">
        <v>146</v>
      </c>
      <c r="C115" s="47"/>
      <c r="D115" s="47"/>
      <c r="E115" s="47"/>
      <c r="F115" s="163"/>
      <c r="G115" s="108" t="n">
        <f aca="false">G113*G114</f>
        <v>466300.8</v>
      </c>
      <c r="H115" s="108" t="n">
        <f aca="false">H113*H114</f>
        <v>255345.441626816</v>
      </c>
      <c r="I115" s="108" t="n">
        <f aca="false">I113*I114</f>
        <v>332271.978135652</v>
      </c>
      <c r="J115" s="108" t="n">
        <f aca="false">J113*J114</f>
        <v>425192.116387017</v>
      </c>
      <c r="K115" s="108" t="n">
        <f aca="false">K113*K114</f>
        <v>537455.413624122</v>
      </c>
    </row>
  </sheetData>
  <mergeCells count="2">
    <mergeCell ref="B2:C2"/>
    <mergeCell ref="B11:C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0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0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70" zoomScalePageLayoutView="100" workbookViewId="0">
      <selection pane="topLeft" activeCell="F36" activeCellId="0" sqref="F36"/>
    </sheetView>
  </sheetViews>
  <sheetFormatPr defaultColWidth="9.00390625" defaultRowHeight="12.75" customHeight="true" zeroHeight="false" outlineLevelRow="0" outlineLevelCol="1"/>
  <cols>
    <col collapsed="false" customWidth="true" hidden="false" outlineLevel="0" max="1" min="1" style="1" width="11.67"/>
    <col collapsed="false" customWidth="true" hidden="false" outlineLevel="0" max="2" min="2" style="1" width="30.67"/>
    <col collapsed="false" customWidth="true" hidden="true" outlineLevel="1" max="5" min="3" style="1" width="12.67"/>
    <col collapsed="false" customWidth="true" hidden="false" outlineLevel="0" max="12" min="6" style="1" width="12.67"/>
    <col collapsed="false" customWidth="true" hidden="false" outlineLevel="0" max="16" min="13" style="1" width="20.67"/>
    <col collapsed="false" customWidth="false" hidden="false" outlineLevel="0" max="16384" min="17" style="1" width="9"/>
  </cols>
  <sheetData>
    <row r="2" customFormat="false" ht="15.75" hidden="false" customHeight="true" outlineLevel="0" collapsed="false">
      <c r="A2" s="49" t="n">
        <f aca="false">Summary!C10</f>
        <v>46113</v>
      </c>
      <c r="B2" s="3" t="s">
        <v>33</v>
      </c>
      <c r="C2" s="3"/>
      <c r="D2" s="3"/>
      <c r="E2" s="3"/>
      <c r="F2" s="3"/>
    </row>
    <row r="3" customFormat="false" ht="12.75" hidden="false" customHeight="true" outlineLevel="0" collapsed="false">
      <c r="B3" s="1" t="s">
        <v>34</v>
      </c>
      <c r="F3" s="167" t="n">
        <f aca="false">Summary!D10</f>
        <v>8.41</v>
      </c>
    </row>
    <row r="4" customFormat="false" ht="12.75" hidden="false" customHeight="true" outlineLevel="0" collapsed="false">
      <c r="B4" s="1" t="s">
        <v>77</v>
      </c>
      <c r="F4" s="46" t="n">
        <v>49.1444444444445</v>
      </c>
    </row>
    <row r="5" customFormat="false" ht="12.75" hidden="false" customHeight="true" outlineLevel="0" collapsed="false">
      <c r="B5" s="47" t="s">
        <v>36</v>
      </c>
      <c r="C5" s="47"/>
      <c r="D5" s="47"/>
      <c r="E5" s="47"/>
      <c r="F5" s="95" t="n">
        <f aca="false">F3*F4</f>
        <v>413.304777777778</v>
      </c>
    </row>
    <row r="6" customFormat="false" ht="12.75" hidden="false" customHeight="true" outlineLevel="0" collapsed="false">
      <c r="B6" s="1" t="s">
        <v>147</v>
      </c>
      <c r="F6" s="46" t="n">
        <v>271.6</v>
      </c>
    </row>
    <row r="7" customFormat="false" ht="12.75" hidden="false" customHeight="true" outlineLevel="0" collapsed="false">
      <c r="B7" s="47" t="s">
        <v>40</v>
      </c>
      <c r="C7" s="47"/>
      <c r="D7" s="47"/>
      <c r="E7" s="47"/>
      <c r="F7" s="95" t="n">
        <f aca="false">SUM(F5:F6)</f>
        <v>684.904777777778</v>
      </c>
    </row>
    <row r="8" customFormat="false" ht="15" hidden="false" customHeight="true" outlineLevel="0" collapsed="false">
      <c r="B8" s="43" t="s">
        <v>5</v>
      </c>
      <c r="C8" s="168" t="e">
        <f aca="false">C7/F35</f>
        <v>#DIV/0!</v>
      </c>
      <c r="F8" s="51" t="n">
        <f aca="false">F7/G66</f>
        <v>6.22640707070708</v>
      </c>
    </row>
    <row r="9" customFormat="false" ht="15" hidden="false" customHeight="true" outlineLevel="0" collapsed="false">
      <c r="B9" s="43" t="s">
        <v>6</v>
      </c>
      <c r="C9" s="168" t="e">
        <f aca="false">C7/G35</f>
        <v>#DIV/0!</v>
      </c>
      <c r="F9" s="51" t="n">
        <f aca="false">F7/H66</f>
        <v>5.78663723882685</v>
      </c>
    </row>
    <row r="10" customFormat="false" ht="12.75" hidden="false" customHeight="true" outlineLevel="0" collapsed="false">
      <c r="B10" s="47"/>
      <c r="C10" s="47"/>
      <c r="D10" s="47"/>
      <c r="E10" s="47"/>
      <c r="F10" s="97"/>
    </row>
    <row r="11" customFormat="false" ht="15.75" hidden="false" customHeight="true" outlineLevel="0" collapsed="false">
      <c r="A11" s="49" t="n">
        <f aca="false">Summary!G10</f>
        <v>47848</v>
      </c>
      <c r="B11" s="3" t="s">
        <v>79</v>
      </c>
      <c r="C11" s="3"/>
      <c r="D11" s="3"/>
      <c r="E11" s="3"/>
      <c r="F11" s="3"/>
    </row>
    <row r="12" customFormat="false" ht="12.75" hidden="false" customHeight="true" outlineLevel="0" collapsed="false">
      <c r="B12" s="1" t="s">
        <v>80</v>
      </c>
      <c r="C12" s="47"/>
      <c r="D12" s="47"/>
      <c r="E12" s="47"/>
      <c r="F12" s="98" t="n">
        <f aca="false">L66</f>
        <v>178.156270770809</v>
      </c>
    </row>
    <row r="13" customFormat="false" ht="12.75" hidden="false" customHeight="true" outlineLevel="0" collapsed="false">
      <c r="B13" s="1" t="s">
        <v>8</v>
      </c>
      <c r="C13" s="47"/>
      <c r="D13" s="47"/>
      <c r="E13" s="47"/>
      <c r="F13" s="99" t="n">
        <f aca="false">Summary!H10</f>
        <v>8</v>
      </c>
    </row>
    <row r="14" customFormat="false" ht="12.75" hidden="false" customHeight="true" outlineLevel="0" collapsed="false">
      <c r="B14" s="47" t="s">
        <v>40</v>
      </c>
      <c r="C14" s="47"/>
      <c r="D14" s="47"/>
      <c r="E14" s="47"/>
      <c r="F14" s="95" t="n">
        <f aca="false">F12*F13</f>
        <v>1425.25016616647</v>
      </c>
    </row>
    <row r="15" customFormat="false" ht="12.75" hidden="false" customHeight="true" outlineLevel="0" collapsed="false">
      <c r="B15" s="1" t="s">
        <v>148</v>
      </c>
      <c r="C15" s="47"/>
      <c r="D15" s="47"/>
      <c r="E15" s="47"/>
      <c r="F15" s="46" t="n">
        <f aca="false">-F6</f>
        <v>-271.6</v>
      </c>
    </row>
    <row r="16" customFormat="false" ht="12.75" hidden="false" customHeight="true" outlineLevel="0" collapsed="false">
      <c r="B16" s="1" t="s">
        <v>46</v>
      </c>
      <c r="C16" s="47"/>
      <c r="D16" s="47"/>
      <c r="E16" s="47"/>
      <c r="F16" s="46" t="n">
        <f aca="false">F32</f>
        <v>335.298280652322</v>
      </c>
    </row>
    <row r="17" customFormat="false" ht="12.75" hidden="false" customHeight="true" outlineLevel="0" collapsed="false">
      <c r="B17" s="47" t="s">
        <v>36</v>
      </c>
      <c r="C17" s="47"/>
      <c r="D17" s="47"/>
      <c r="E17" s="47"/>
      <c r="F17" s="48" t="n">
        <f aca="false">SUM(F14:F16)</f>
        <v>1488.94844681879</v>
      </c>
    </row>
    <row r="18" customFormat="false" ht="12.75" hidden="false" customHeight="true" outlineLevel="0" collapsed="false">
      <c r="B18" s="1" t="s">
        <v>47</v>
      </c>
      <c r="C18" s="47"/>
      <c r="D18" s="47"/>
      <c r="E18" s="47"/>
      <c r="F18" s="46" t="n">
        <f aca="false">F4</f>
        <v>49.1444444444445</v>
      </c>
    </row>
    <row r="19" customFormat="false" ht="12.75" hidden="false" customHeight="true" outlineLevel="0" collapsed="false">
      <c r="B19" s="47" t="s">
        <v>48</v>
      </c>
      <c r="C19" s="47"/>
      <c r="D19" s="47"/>
      <c r="E19" s="47"/>
      <c r="F19" s="100" t="n">
        <f aca="false">F17/F18</f>
        <v>30.2973909594599</v>
      </c>
    </row>
    <row r="20" customFormat="false" ht="12.75" hidden="false" customHeight="true" outlineLevel="0" collapsed="false">
      <c r="B20" s="47"/>
      <c r="C20" s="47"/>
      <c r="D20" s="47"/>
      <c r="E20" s="47"/>
      <c r="F20" s="97"/>
    </row>
    <row r="21" customFormat="false" ht="12.75" hidden="false" customHeight="true" outlineLevel="0" collapsed="false">
      <c r="B21" s="45" t="s">
        <v>49</v>
      </c>
      <c r="C21" s="56"/>
      <c r="D21" s="47"/>
      <c r="E21" s="47"/>
      <c r="F21" s="97"/>
    </row>
    <row r="22" customFormat="false" ht="12.75" hidden="false" customHeight="true" outlineLevel="0" collapsed="false">
      <c r="B22" s="1" t="s">
        <v>50</v>
      </c>
      <c r="C22" s="57" t="e">
        <f aca="false">C18/C19-1</f>
        <v>#DIV/0!</v>
      </c>
      <c r="D22" s="47"/>
      <c r="E22" s="47"/>
      <c r="F22" s="57" t="n">
        <f aca="false">F19/F3-1</f>
        <v>2.60254351479903</v>
      </c>
    </row>
    <row r="23" customFormat="false" ht="12.75" hidden="false" customHeight="true" outlineLevel="0" collapsed="false">
      <c r="B23" s="1" t="s">
        <v>10</v>
      </c>
      <c r="C23" s="58" t="e">
        <f aca="false">C18/C19</f>
        <v>#DIV/0!</v>
      </c>
      <c r="D23" s="47"/>
      <c r="E23" s="47"/>
      <c r="F23" s="58" t="n">
        <f aca="false">F19/F3</f>
        <v>3.60254351479903</v>
      </c>
    </row>
    <row r="24" customFormat="false" ht="12.75" hidden="false" customHeight="true" outlineLevel="0" collapsed="false">
      <c r="A24" s="59" t="n">
        <f aca="false">(A11-A2)/365</f>
        <v>4.75342465753425</v>
      </c>
      <c r="B24" s="47" t="s">
        <v>9</v>
      </c>
      <c r="C24" s="60" t="e">
        <f aca="false">C23^(1/A24)-1</f>
        <v>#DIV/0!</v>
      </c>
      <c r="D24" s="47"/>
      <c r="E24" s="47"/>
      <c r="F24" s="60" t="n">
        <f aca="false">F23^(1/A24)-1</f>
        <v>0.309472756463339</v>
      </c>
    </row>
    <row r="25" customFormat="false" ht="12.75" hidden="false" customHeight="true" outlineLevel="0" collapsed="false">
      <c r="B25" s="47"/>
      <c r="C25" s="47"/>
      <c r="D25" s="47"/>
      <c r="E25" s="47"/>
      <c r="F25" s="97"/>
    </row>
    <row r="26" customFormat="false" ht="12.75" hidden="false" customHeight="true" outlineLevel="0" collapsed="false">
      <c r="B26" s="47" t="s">
        <v>51</v>
      </c>
      <c r="C26" s="47"/>
      <c r="D26" s="47"/>
      <c r="E26" s="47"/>
      <c r="F26" s="97"/>
    </row>
    <row r="27" customFormat="false" ht="12.75" hidden="false" customHeight="true" outlineLevel="0" collapsed="false">
      <c r="B27" s="1" t="s">
        <v>54</v>
      </c>
      <c r="C27" s="47"/>
      <c r="D27" s="47"/>
      <c r="E27" s="47"/>
      <c r="F27" s="98" t="n">
        <f aca="false">SUM(H66:L66)</f>
        <v>726.545572205145</v>
      </c>
    </row>
    <row r="28" customFormat="false" ht="12.75" hidden="false" customHeight="true" outlineLevel="0" collapsed="false">
      <c r="A28" s="62" t="n">
        <v>0.2</v>
      </c>
      <c r="B28" s="1" t="s">
        <v>53</v>
      </c>
      <c r="C28" s="47"/>
      <c r="D28" s="47"/>
      <c r="E28" s="47"/>
      <c r="F28" s="46" t="n">
        <f aca="false">A28*F27</f>
        <v>145.309114441029</v>
      </c>
    </row>
    <row r="29" customFormat="false" ht="12.75" hidden="false" customHeight="true" outlineLevel="0" collapsed="false">
      <c r="A29" s="101" t="n">
        <v>50</v>
      </c>
      <c r="B29" s="1" t="s">
        <v>82</v>
      </c>
      <c r="C29" s="47"/>
      <c r="D29" s="47"/>
      <c r="E29" s="47"/>
      <c r="F29" s="46" t="n">
        <f aca="false">A29*5</f>
        <v>250</v>
      </c>
    </row>
    <row r="30" customFormat="false" ht="12.75" hidden="false" customHeight="true" outlineLevel="0" collapsed="false">
      <c r="A30" s="101" t="n">
        <v>5</v>
      </c>
      <c r="B30" s="1" t="s">
        <v>83</v>
      </c>
      <c r="C30" s="47"/>
      <c r="D30" s="47"/>
      <c r="E30" s="47"/>
      <c r="F30" s="46" t="n">
        <f aca="false">A30*5</f>
        <v>25</v>
      </c>
    </row>
    <row r="31" customFormat="false" ht="12.75" hidden="false" customHeight="true" outlineLevel="0" collapsed="false">
      <c r="A31" s="62" t="n">
        <v>0.2</v>
      </c>
      <c r="B31" s="1" t="s">
        <v>84</v>
      </c>
      <c r="C31" s="47"/>
      <c r="D31" s="47"/>
      <c r="E31" s="47"/>
      <c r="F31" s="46" t="n">
        <f aca="false">(F27-F28)*A31</f>
        <v>116.247291552823</v>
      </c>
    </row>
    <row r="32" customFormat="false" ht="12.75" hidden="false" customHeight="true" outlineLevel="0" collapsed="false">
      <c r="A32" s="101"/>
      <c r="B32" s="47" t="s">
        <v>58</v>
      </c>
      <c r="C32" s="47"/>
      <c r="D32" s="47"/>
      <c r="E32" s="47"/>
      <c r="F32" s="48" t="n">
        <f aca="false">F27-SUM(F29:F31)</f>
        <v>335.298280652322</v>
      </c>
    </row>
    <row r="33" customFormat="false" ht="12.75" hidden="false" customHeight="true" outlineLevel="0" collapsed="false">
      <c r="B33" s="47"/>
      <c r="C33" s="47"/>
      <c r="D33" s="47"/>
      <c r="E33" s="47"/>
      <c r="F33" s="97"/>
    </row>
    <row r="34" customFormat="false" ht="16.5" hidden="false" customHeight="true" outlineLevel="0" collapsed="false">
      <c r="B34" s="169" t="s">
        <v>149</v>
      </c>
      <c r="C34" s="4" t="s">
        <v>150</v>
      </c>
      <c r="D34" s="4" t="s">
        <v>114</v>
      </c>
      <c r="E34" s="4" t="s">
        <v>86</v>
      </c>
      <c r="F34" s="170" t="s">
        <v>87</v>
      </c>
      <c r="G34" s="4" t="s">
        <v>88</v>
      </c>
      <c r="H34" s="103" t="s">
        <v>89</v>
      </c>
      <c r="I34" s="4" t="s">
        <v>90</v>
      </c>
      <c r="J34" s="4" t="s">
        <v>91</v>
      </c>
      <c r="K34" s="4" t="s">
        <v>92</v>
      </c>
      <c r="L34" s="4" t="s">
        <v>93</v>
      </c>
      <c r="M34" s="171" t="s">
        <v>151</v>
      </c>
    </row>
    <row r="35" customFormat="false" ht="13.5" hidden="false" customHeight="true" outlineLevel="0" collapsed="false">
      <c r="B35" s="170" t="s">
        <v>115</v>
      </c>
      <c r="H35" s="113"/>
      <c r="M35" s="172"/>
    </row>
    <row r="36" customFormat="false" ht="13.5" hidden="false" customHeight="true" outlineLevel="0" collapsed="false">
      <c r="B36" s="173" t="s">
        <v>152</v>
      </c>
      <c r="C36" s="174" t="n">
        <v>726</v>
      </c>
      <c r="D36" s="174" t="n">
        <v>953</v>
      </c>
      <c r="E36" s="174" t="n">
        <v>1109</v>
      </c>
      <c r="F36" s="174" t="n">
        <v>1200</v>
      </c>
      <c r="G36" s="174" t="n">
        <f aca="false">MROUND((1+G83)*F36,1)</f>
        <v>1320</v>
      </c>
      <c r="H36" s="175" t="n">
        <f aca="false">MROUND((1+H83)*G36,1)</f>
        <v>1452</v>
      </c>
      <c r="I36" s="174" t="n">
        <f aca="false">MROUND((1+I83)*H36,1)</f>
        <v>1597</v>
      </c>
      <c r="J36" s="174" t="n">
        <f aca="false">MROUND((1+J83)*I36,1)</f>
        <v>1757</v>
      </c>
      <c r="K36" s="174" t="n">
        <f aca="false">MROUND((1+K83)*J36,1)</f>
        <v>1933</v>
      </c>
      <c r="L36" s="174" t="n">
        <f aca="false">MROUND((1+L83)*K36,1)</f>
        <v>2126</v>
      </c>
      <c r="M36" s="176" t="n">
        <f aca="false">(L36/G36)^(1/5)-1</f>
        <v>0.100013121824232</v>
      </c>
    </row>
    <row r="37" customFormat="false" ht="13.5" hidden="false" customHeight="true" outlineLevel="0" collapsed="false">
      <c r="B37" s="177" t="s">
        <v>153</v>
      </c>
      <c r="C37" s="178" t="n">
        <v>193</v>
      </c>
      <c r="D37" s="178" t="n">
        <v>358</v>
      </c>
      <c r="E37" s="178" t="n">
        <v>470</v>
      </c>
      <c r="F37" s="178" t="n">
        <v>529</v>
      </c>
      <c r="G37" s="178" t="n">
        <f aca="false">MROUND((1+G84)*F37,1)</f>
        <v>582</v>
      </c>
      <c r="H37" s="179" t="n">
        <f aca="false">MROUND((1+H84)*G37,1)</f>
        <v>611</v>
      </c>
      <c r="I37" s="178" t="n">
        <f aca="false">MROUND((1+I84)*H37,1)</f>
        <v>642</v>
      </c>
      <c r="J37" s="178" t="n">
        <f aca="false">MROUND((1+J84)*I37,1)</f>
        <v>674</v>
      </c>
      <c r="K37" s="178" t="n">
        <f aca="false">MROUND((1+K84)*J37,1)</f>
        <v>708</v>
      </c>
      <c r="L37" s="178" t="n">
        <f aca="false">MROUND((1+L84)*K37,1)</f>
        <v>743</v>
      </c>
      <c r="M37" s="180" t="n">
        <f aca="false">(L37/G37)^(1/5)-1</f>
        <v>0.0500577045747934</v>
      </c>
    </row>
    <row r="38" customFormat="false" ht="13.5" hidden="false" customHeight="true" outlineLevel="0" collapsed="false">
      <c r="B38" s="173" t="s">
        <v>154</v>
      </c>
      <c r="C38" s="174" t="n">
        <v>591</v>
      </c>
      <c r="D38" s="174" t="n">
        <v>624</v>
      </c>
      <c r="E38" s="174" t="n">
        <v>634</v>
      </c>
      <c r="F38" s="174" t="n">
        <v>626</v>
      </c>
      <c r="G38" s="174" t="n">
        <f aca="false">MROUND((1+G85)*F38,1)</f>
        <v>620</v>
      </c>
      <c r="H38" s="175" t="n">
        <f aca="false">MROUND((1+H85)*G38,1)</f>
        <v>614</v>
      </c>
      <c r="I38" s="174" t="n">
        <f aca="false">MROUND((1+I85)*H38,1)</f>
        <v>608</v>
      </c>
      <c r="J38" s="174" t="n">
        <f aca="false">MROUND((1+J85)*I38,1)</f>
        <v>602</v>
      </c>
      <c r="K38" s="174" t="n">
        <f aca="false">MROUND((1+K85)*J38,1)</f>
        <v>596</v>
      </c>
      <c r="L38" s="174" t="n">
        <f aca="false">MROUND((1+L85)*K38,1)</f>
        <v>590</v>
      </c>
      <c r="M38" s="176" t="n">
        <f aca="false">(L38/G38)^(1/5)-1</f>
        <v>-0.00987035336235487</v>
      </c>
    </row>
    <row r="39" customFormat="false" ht="13.5" hidden="false" customHeight="true" outlineLevel="0" collapsed="false">
      <c r="B39" s="177" t="s">
        <v>155</v>
      </c>
      <c r="C39" s="178" t="n">
        <v>109</v>
      </c>
      <c r="D39" s="178" t="n">
        <v>178</v>
      </c>
      <c r="E39" s="178" t="n">
        <v>191</v>
      </c>
      <c r="F39" s="178" t="n">
        <v>194</v>
      </c>
      <c r="G39" s="178" t="n">
        <f aca="false">G40-SUM(G36:G38)</f>
        <v>197</v>
      </c>
      <c r="H39" s="179" t="n">
        <f aca="false">MROUND((1+H86)*G39,1)</f>
        <v>200</v>
      </c>
      <c r="I39" s="178" t="n">
        <f aca="false">MROUND((1+I86)*H39,1)</f>
        <v>203</v>
      </c>
      <c r="J39" s="178" t="n">
        <f aca="false">MROUND((1+J86)*I39,1)</f>
        <v>206</v>
      </c>
      <c r="K39" s="178" t="n">
        <f aca="false">MROUND((1+K86)*J39,1)</f>
        <v>209</v>
      </c>
      <c r="L39" s="178" t="n">
        <f aca="false">MROUND((1+L86)*K39,1)</f>
        <v>212</v>
      </c>
      <c r="M39" s="180" t="n">
        <f aca="false">(L39/G39)^(1/5)-1</f>
        <v>0.0147847379731507</v>
      </c>
    </row>
    <row r="40" customFormat="false" ht="13.5" hidden="false" customHeight="true" outlineLevel="0" collapsed="false">
      <c r="B40" s="181" t="s">
        <v>98</v>
      </c>
      <c r="C40" s="182" t="n">
        <f aca="false">SUM(C36:C39)</f>
        <v>1619</v>
      </c>
      <c r="D40" s="182" t="n">
        <f aca="false">SUM(D36:D39)</f>
        <v>2113</v>
      </c>
      <c r="E40" s="182" t="n">
        <f aca="false">SUM(E36:E39)</f>
        <v>2404</v>
      </c>
      <c r="F40" s="182" t="n">
        <f aca="false">SUM(F36:F39)</f>
        <v>2549</v>
      </c>
      <c r="G40" s="183" t="n">
        <f aca="false">F40+170</f>
        <v>2719</v>
      </c>
      <c r="H40" s="184" t="n">
        <f aca="false">SUM(H36:H39)</f>
        <v>2877</v>
      </c>
      <c r="I40" s="182" t="n">
        <f aca="false">SUM(I36:I39)</f>
        <v>3050</v>
      </c>
      <c r="J40" s="182" t="n">
        <f aca="false">SUM(J36:J39)</f>
        <v>3239</v>
      </c>
      <c r="K40" s="182" t="n">
        <f aca="false">SUM(K36:K39)</f>
        <v>3446</v>
      </c>
      <c r="L40" s="182" t="n">
        <f aca="false">SUM(L36:L39)</f>
        <v>3671</v>
      </c>
      <c r="M40" s="185" t="n">
        <f aca="false">(L40/G40)^(1/5)-1</f>
        <v>0.0618790078729721</v>
      </c>
    </row>
    <row r="41" customFormat="false" ht="12.75" hidden="false" customHeight="true" outlineLevel="0" collapsed="false">
      <c r="D41" s="181"/>
      <c r="E41" s="181"/>
      <c r="F41" s="181"/>
      <c r="G41" s="186"/>
      <c r="H41" s="187"/>
      <c r="I41" s="181"/>
      <c r="J41" s="181"/>
      <c r="K41" s="181"/>
      <c r="L41" s="181"/>
      <c r="M41" s="172"/>
    </row>
    <row r="42" customFormat="false" ht="13.5" hidden="false" customHeight="true" outlineLevel="0" collapsed="false">
      <c r="B42" s="170" t="s">
        <v>156</v>
      </c>
      <c r="G42" s="188"/>
      <c r="H42" s="189"/>
      <c r="I42" s="188"/>
      <c r="J42" s="188"/>
      <c r="K42" s="188"/>
      <c r="L42" s="188"/>
      <c r="M42" s="172"/>
    </row>
    <row r="43" customFormat="false" ht="13.5" hidden="false" customHeight="true" outlineLevel="0" collapsed="false">
      <c r="B43" s="173" t="s">
        <v>152</v>
      </c>
      <c r="C43" s="190"/>
      <c r="D43" s="190"/>
      <c r="E43" s="191" t="n">
        <f aca="false">E50*E36/1000</f>
        <v>790.49255952381</v>
      </c>
      <c r="F43" s="191" t="n">
        <v>958</v>
      </c>
      <c r="G43" s="191" t="n">
        <f aca="false">G50*G36/1000</f>
        <v>1085.414</v>
      </c>
      <c r="H43" s="192" t="n">
        <f aca="false">H50*H36/1000</f>
        <v>1229.774062</v>
      </c>
      <c r="I43" s="191" t="n">
        <f aca="false">I50*I36/1000</f>
        <v>1393.15954016833</v>
      </c>
      <c r="J43" s="191" t="n">
        <f aca="false">J50*J36/1000</f>
        <v>1578.71931837072</v>
      </c>
      <c r="K43" s="191" t="n">
        <f aca="false">K50*K36/1000</f>
        <v>1788.96663385482</v>
      </c>
      <c r="L43" s="191" t="n">
        <f aca="false">L50*L36/1000</f>
        <v>2026.61322063249</v>
      </c>
      <c r="M43" s="176" t="n">
        <f aca="false">(L43/G43)^(1/5)-1</f>
        <v>0.133013515478959</v>
      </c>
    </row>
    <row r="44" customFormat="false" ht="13.5" hidden="false" customHeight="true" outlineLevel="0" collapsed="false">
      <c r="B44" s="177" t="s">
        <v>153</v>
      </c>
      <c r="C44" s="193"/>
      <c r="D44" s="193"/>
      <c r="E44" s="178" t="n">
        <f aca="false">E51*E37/1000</f>
        <v>243.159884588598</v>
      </c>
      <c r="F44" s="178" t="n">
        <v>260</v>
      </c>
      <c r="G44" s="178" t="n">
        <f aca="false">G51*G37/1000</f>
        <v>286.049149338374</v>
      </c>
      <c r="H44" s="179" t="n">
        <f aca="false">H51*H37/1000</f>
        <v>300.302457466919</v>
      </c>
      <c r="I44" s="178" t="n">
        <f aca="false">I51*I37/1000</f>
        <v>315.538752362949</v>
      </c>
      <c r="J44" s="178" t="n">
        <f aca="false">J51*J37/1000</f>
        <v>331.266540642722</v>
      </c>
      <c r="K44" s="178" t="n">
        <f aca="false">K51*K37/1000</f>
        <v>347.977315689981</v>
      </c>
      <c r="L44" s="178" t="n">
        <f aca="false">L51*L37/1000</f>
        <v>365.179584120983</v>
      </c>
      <c r="M44" s="180" t="n">
        <f aca="false">(L44/G44)^(1/5)-1</f>
        <v>0.0500577045747934</v>
      </c>
    </row>
    <row r="45" customFormat="false" ht="13.5" hidden="false" customHeight="true" outlineLevel="0" collapsed="false">
      <c r="B45" s="173" t="s">
        <v>154</v>
      </c>
      <c r="C45" s="190"/>
      <c r="D45" s="190"/>
      <c r="E45" s="174" t="n">
        <f aca="false">E52*E38/1000</f>
        <v>224.188095164242</v>
      </c>
      <c r="F45" s="174" t="n">
        <v>228</v>
      </c>
      <c r="G45" s="174" t="n">
        <f aca="false">G52*G38/1000</f>
        <v>225.814696485623</v>
      </c>
      <c r="H45" s="175" t="n">
        <f aca="false">H52*H38/1000</f>
        <v>223.629392971246</v>
      </c>
      <c r="I45" s="174" t="n">
        <f aca="false">I52*I38/1000</f>
        <v>221.444089456869</v>
      </c>
      <c r="J45" s="174" t="n">
        <f aca="false">J52*J38/1000</f>
        <v>219.258785942492</v>
      </c>
      <c r="K45" s="174" t="n">
        <f aca="false">K52*K38/1000</f>
        <v>217.073482428115</v>
      </c>
      <c r="L45" s="174" t="n">
        <f aca="false">L52*L38/1000</f>
        <v>214.888178913738</v>
      </c>
      <c r="M45" s="176" t="n">
        <f aca="false">(L45/G45)^(1/5)-1</f>
        <v>-0.00987035336235487</v>
      </c>
    </row>
    <row r="46" customFormat="false" ht="13.5" hidden="false" customHeight="true" outlineLevel="0" collapsed="false">
      <c r="B46" s="177" t="s">
        <v>155</v>
      </c>
      <c r="C46" s="193"/>
      <c r="D46" s="193"/>
      <c r="E46" s="178" t="n">
        <f aca="false">E53*E39/1000</f>
        <v>83.5926862478117</v>
      </c>
      <c r="F46" s="178" t="n">
        <v>90</v>
      </c>
      <c r="G46" s="178" t="n">
        <f aca="false">G53*G39/1000</f>
        <v>91.3917525773196</v>
      </c>
      <c r="H46" s="179" t="n">
        <f aca="false">H53*H39/1000</f>
        <v>92.7835051546392</v>
      </c>
      <c r="I46" s="178" t="n">
        <f aca="false">I53*I39/1000</f>
        <v>94.1752577319588</v>
      </c>
      <c r="J46" s="178" t="n">
        <f aca="false">J53*J39/1000</f>
        <v>95.5670103092784</v>
      </c>
      <c r="K46" s="178" t="n">
        <f aca="false">K53*K39/1000</f>
        <v>96.958762886598</v>
      </c>
      <c r="L46" s="178" t="n">
        <f aca="false">L53*L39/1000</f>
        <v>98.3505154639175</v>
      </c>
      <c r="M46" s="180" t="n">
        <f aca="false">(L46/G46)^(1/5)-1</f>
        <v>0.0147847379731507</v>
      </c>
    </row>
    <row r="47" customFormat="false" ht="13.5" hidden="false" customHeight="true" outlineLevel="0" collapsed="false">
      <c r="B47" s="181" t="s">
        <v>98</v>
      </c>
      <c r="C47" s="67"/>
      <c r="D47" s="67"/>
      <c r="E47" s="194" t="n">
        <f aca="false">SUM(E43:E46)</f>
        <v>1341.43322552446</v>
      </c>
      <c r="F47" s="194" t="n">
        <f aca="false">SUM(F43:F46)</f>
        <v>1536</v>
      </c>
      <c r="G47" s="194" t="n">
        <f aca="false">SUM(G43:G46)</f>
        <v>1688.66959840132</v>
      </c>
      <c r="H47" s="195" t="n">
        <f aca="false">SUM(H43:H46)</f>
        <v>1846.4894175928</v>
      </c>
      <c r="I47" s="194" t="n">
        <f aca="false">SUM(I43:I46)</f>
        <v>2024.31763972011</v>
      </c>
      <c r="J47" s="194" t="n">
        <f aca="false">SUM(J43:J46)</f>
        <v>2224.81165526521</v>
      </c>
      <c r="K47" s="194" t="n">
        <f aca="false">SUM(K43:K46)</f>
        <v>2450.97619485951</v>
      </c>
      <c r="L47" s="194" t="n">
        <f aca="false">SUM(L43:L46)</f>
        <v>2705.03149913113</v>
      </c>
      <c r="M47" s="196" t="n">
        <f aca="false">(L47/G47)^(1/5)-1</f>
        <v>0.0988174011262784</v>
      </c>
    </row>
    <row r="48" customFormat="false" ht="12.75" hidden="false" customHeight="true" outlineLevel="0" collapsed="false">
      <c r="D48" s="181"/>
      <c r="E48" s="181"/>
      <c r="F48" s="181"/>
      <c r="G48" s="181"/>
      <c r="H48" s="187"/>
      <c r="I48" s="181"/>
      <c r="J48" s="181"/>
      <c r="K48" s="181"/>
      <c r="L48" s="181"/>
      <c r="M48" s="172"/>
    </row>
    <row r="49" customFormat="false" ht="13.5" hidden="false" customHeight="true" outlineLevel="0" collapsed="false">
      <c r="B49" s="197" t="s">
        <v>157</v>
      </c>
      <c r="G49" s="188"/>
      <c r="H49" s="189"/>
      <c r="I49" s="188"/>
      <c r="J49" s="188"/>
      <c r="K49" s="188"/>
      <c r="L49" s="188"/>
      <c r="M49" s="172"/>
    </row>
    <row r="50" customFormat="false" ht="13.5" hidden="false" customHeight="true" outlineLevel="0" collapsed="false">
      <c r="B50" s="173" t="s">
        <v>152</v>
      </c>
      <c r="C50" s="190"/>
      <c r="D50" s="190"/>
      <c r="E50" s="191" t="n">
        <f aca="false">F50/(1+F69)</f>
        <v>712.797619047619</v>
      </c>
      <c r="F50" s="191" t="n">
        <f aca="false">F43/F36*1000</f>
        <v>798.333333333333</v>
      </c>
      <c r="G50" s="191" t="n">
        <f aca="false">(1+G69)*F50</f>
        <v>822.283333333333</v>
      </c>
      <c r="H50" s="192" t="n">
        <f aca="false">(1+H69)*G50</f>
        <v>846.951833333333</v>
      </c>
      <c r="I50" s="191" t="n">
        <f aca="false">(1+I69)*H50</f>
        <v>872.360388333333</v>
      </c>
      <c r="J50" s="191" t="n">
        <f aca="false">(1+J69)*I50</f>
        <v>898.531199983333</v>
      </c>
      <c r="K50" s="191" t="n">
        <f aca="false">(1+K69)*J50</f>
        <v>925.487135982834</v>
      </c>
      <c r="L50" s="191" t="n">
        <f aca="false">(1+L69)*K50</f>
        <v>953.251750062319</v>
      </c>
      <c r="M50" s="176" t="n">
        <f aca="false">(L50/G50)^(1/5)-1</f>
        <v>0.03</v>
      </c>
    </row>
    <row r="51" customFormat="false" ht="13.5" hidden="false" customHeight="true" outlineLevel="0" collapsed="false">
      <c r="B51" s="177" t="s">
        <v>153</v>
      </c>
      <c r="C51" s="193"/>
      <c r="D51" s="193"/>
      <c r="E51" s="178" t="n">
        <f aca="false">F51/(1+F70)</f>
        <v>517.361456571485</v>
      </c>
      <c r="F51" s="178" t="n">
        <f aca="false">F44/F37*1000</f>
        <v>491.493383742911</v>
      </c>
      <c r="G51" s="178" t="n">
        <f aca="false">(1+G70)*F51</f>
        <v>491.493383742911</v>
      </c>
      <c r="H51" s="179" t="n">
        <f aca="false">(1+H70)*G51</f>
        <v>491.493383742911</v>
      </c>
      <c r="I51" s="178" t="n">
        <f aca="false">(1+I70)*H51</f>
        <v>491.493383742911</v>
      </c>
      <c r="J51" s="178" t="n">
        <f aca="false">(1+J70)*I51</f>
        <v>491.493383742911</v>
      </c>
      <c r="K51" s="178" t="n">
        <f aca="false">(1+K70)*J51</f>
        <v>491.493383742911</v>
      </c>
      <c r="L51" s="178" t="n">
        <f aca="false">(1+L70)*K51</f>
        <v>491.493383742911</v>
      </c>
      <c r="M51" s="180" t="n">
        <f aca="false">(L51/G51)^(1/5)-1</f>
        <v>0</v>
      </c>
    </row>
    <row r="52" customFormat="false" ht="13.5" hidden="false" customHeight="true" outlineLevel="0" collapsed="false">
      <c r="B52" s="173" t="s">
        <v>154</v>
      </c>
      <c r="C52" s="190"/>
      <c r="D52" s="190"/>
      <c r="E52" s="174" t="n">
        <f aca="false">F52/(1+F71)</f>
        <v>353.608982908899</v>
      </c>
      <c r="F52" s="174" t="n">
        <f aca="false">F45/F38*1000</f>
        <v>364.217252396166</v>
      </c>
      <c r="G52" s="174" t="n">
        <f aca="false">(1+G71)*F52</f>
        <v>364.217252396166</v>
      </c>
      <c r="H52" s="175" t="n">
        <f aca="false">(1+H71)*G52</f>
        <v>364.217252396166</v>
      </c>
      <c r="I52" s="174" t="n">
        <f aca="false">(1+I71)*H52</f>
        <v>364.217252396166</v>
      </c>
      <c r="J52" s="174" t="n">
        <f aca="false">(1+J71)*I52</f>
        <v>364.217252396166</v>
      </c>
      <c r="K52" s="174" t="n">
        <f aca="false">(1+K71)*J52</f>
        <v>364.217252396166</v>
      </c>
      <c r="L52" s="174" t="n">
        <f aca="false">(1+L71)*K52</f>
        <v>364.217252396166</v>
      </c>
      <c r="M52" s="176" t="n">
        <f aca="false">(L52/G52)^(1/5)-1</f>
        <v>0</v>
      </c>
    </row>
    <row r="53" customFormat="false" ht="13.5" hidden="false" customHeight="true" outlineLevel="0" collapsed="false">
      <c r="B53" s="177" t="s">
        <v>155</v>
      </c>
      <c r="C53" s="193"/>
      <c r="D53" s="193"/>
      <c r="E53" s="178" t="n">
        <f aca="false">F53/(1+F72)</f>
        <v>437.65804318226</v>
      </c>
      <c r="F53" s="178" t="n">
        <f aca="false">F46/F39*1000</f>
        <v>463.917525773196</v>
      </c>
      <c r="G53" s="178" t="n">
        <f aca="false">(1+G72)*F53</f>
        <v>463.917525773196</v>
      </c>
      <c r="H53" s="179" t="n">
        <f aca="false">(1+H72)*G53</f>
        <v>463.917525773196</v>
      </c>
      <c r="I53" s="178" t="n">
        <f aca="false">(1+I72)*H53</f>
        <v>463.917525773196</v>
      </c>
      <c r="J53" s="178" t="n">
        <f aca="false">(1+J72)*I53</f>
        <v>463.917525773196</v>
      </c>
      <c r="K53" s="178" t="n">
        <f aca="false">(1+K72)*J53</f>
        <v>463.917525773196</v>
      </c>
      <c r="L53" s="178" t="n">
        <f aca="false">(1+L72)*K53</f>
        <v>463.917525773196</v>
      </c>
      <c r="M53" s="180" t="n">
        <f aca="false">(L53/G53)^(1/5)-1</f>
        <v>0</v>
      </c>
    </row>
    <row r="54" customFormat="false" ht="13.5" hidden="false" customHeight="true" outlineLevel="0" collapsed="false">
      <c r="B54" s="181" t="s">
        <v>98</v>
      </c>
      <c r="C54" s="67"/>
      <c r="D54" s="67"/>
      <c r="E54" s="194" t="n">
        <f aca="false">E47/E40*1000</f>
        <v>558.00050978555</v>
      </c>
      <c r="F54" s="194" t="n">
        <f aca="false">F47/F40*1000</f>
        <v>602.589250686544</v>
      </c>
      <c r="G54" s="194" t="n">
        <f aca="false">G47/G40*1000</f>
        <v>621.062743067789</v>
      </c>
      <c r="H54" s="195" t="n">
        <f aca="false">H47/H40*1000</f>
        <v>641.810711711089</v>
      </c>
      <c r="I54" s="194" t="n">
        <f aca="false">I47/I40*1000</f>
        <v>663.710701547577</v>
      </c>
      <c r="J54" s="194" t="n">
        <f aca="false">J47/J40*1000</f>
        <v>686.882264669716</v>
      </c>
      <c r="K54" s="194" t="n">
        <f aca="false">K47/K40*1000</f>
        <v>711.252523174554</v>
      </c>
      <c r="L54" s="194" t="n">
        <f aca="false">L47/L40*1000</f>
        <v>736.865022917768</v>
      </c>
      <c r="M54" s="196" t="n">
        <f aca="false">(L54/G54)^(1/5)-1</f>
        <v>0.0347858776559646</v>
      </c>
    </row>
    <row r="55" customFormat="false" ht="12.75" hidden="false" customHeight="true" outlineLevel="0" collapsed="false">
      <c r="D55" s="181"/>
      <c r="E55" s="181"/>
      <c r="F55" s="181"/>
      <c r="G55" s="181"/>
      <c r="H55" s="187"/>
      <c r="I55" s="181"/>
      <c r="J55" s="181"/>
      <c r="K55" s="181"/>
      <c r="L55" s="181"/>
      <c r="M55" s="172"/>
    </row>
    <row r="56" customFormat="false" ht="13.5" hidden="false" customHeight="true" outlineLevel="0" collapsed="false">
      <c r="B56" s="170" t="s">
        <v>158</v>
      </c>
      <c r="G56" s="188"/>
      <c r="H56" s="189"/>
      <c r="I56" s="188"/>
      <c r="J56" s="188"/>
      <c r="K56" s="188"/>
      <c r="L56" s="188"/>
      <c r="M56" s="172"/>
    </row>
    <row r="57" customFormat="false" ht="13.5" hidden="false" customHeight="true" outlineLevel="0" collapsed="false">
      <c r="B57" s="173" t="s">
        <v>152</v>
      </c>
      <c r="C57" s="190"/>
      <c r="D57" s="190"/>
      <c r="E57" s="191"/>
      <c r="F57" s="191" t="n">
        <v>102</v>
      </c>
      <c r="G57" s="191" t="n">
        <f aca="false">G43*G90</f>
        <v>115.566</v>
      </c>
      <c r="H57" s="192" t="n">
        <f aca="false">H43*H90</f>
        <v>130.936278</v>
      </c>
      <c r="I57" s="191" t="n">
        <f aca="false">I43*I90</f>
        <v>148.332226615</v>
      </c>
      <c r="J57" s="191" t="n">
        <f aca="false">J43*J90</f>
        <v>168.08911322945</v>
      </c>
      <c r="K57" s="191" t="n">
        <f aca="false">K43*K90</f>
        <v>190.474526777862</v>
      </c>
      <c r="L57" s="191" t="n">
        <f aca="false">L43*L90</f>
        <v>215.777190505756</v>
      </c>
      <c r="M57" s="176" t="n">
        <f aca="false">(L57/G57)^(1/5)-1</f>
        <v>0.133013515478959</v>
      </c>
      <c r="N57" s="88"/>
    </row>
    <row r="58" customFormat="false" ht="13.5" hidden="false" customHeight="true" outlineLevel="0" collapsed="false">
      <c r="B58" s="177" t="s">
        <v>153</v>
      </c>
      <c r="C58" s="193"/>
      <c r="D58" s="193"/>
      <c r="E58" s="178"/>
      <c r="F58" s="178" t="n">
        <v>29</v>
      </c>
      <c r="G58" s="178" t="n">
        <f aca="false">G44*G91</f>
        <v>31.9054820415879</v>
      </c>
      <c r="H58" s="179" t="n">
        <f aca="false">H44*H91</f>
        <v>33.4952741020794</v>
      </c>
      <c r="I58" s="178" t="n">
        <f aca="false">I44*I91</f>
        <v>35.1947069943289</v>
      </c>
      <c r="J58" s="178" t="n">
        <f aca="false">J44*J91</f>
        <v>36.9489603024575</v>
      </c>
      <c r="K58" s="178" t="n">
        <f aca="false">K44*K91</f>
        <v>38.8128544423441</v>
      </c>
      <c r="L58" s="178" t="n">
        <f aca="false">L44*L91</f>
        <v>40.7315689981096</v>
      </c>
      <c r="M58" s="180" t="n">
        <f aca="false">(L58/G58)^(1/5)-1</f>
        <v>0.0500577045747934</v>
      </c>
    </row>
    <row r="59" customFormat="false" ht="13.5" hidden="false" customHeight="true" outlineLevel="0" collapsed="false">
      <c r="B59" s="173" t="s">
        <v>154</v>
      </c>
      <c r="C59" s="190"/>
      <c r="D59" s="190"/>
      <c r="E59" s="174"/>
      <c r="F59" s="174" t="n">
        <v>21</v>
      </c>
      <c r="G59" s="174" t="n">
        <f aca="false">G45*G92</f>
        <v>20.7987220447284</v>
      </c>
      <c r="H59" s="175" t="n">
        <f aca="false">H45*H92</f>
        <v>20.5974440894569</v>
      </c>
      <c r="I59" s="174" t="n">
        <f aca="false">I45*I92</f>
        <v>20.3961661341853</v>
      </c>
      <c r="J59" s="174" t="n">
        <f aca="false">J45*J92</f>
        <v>20.1948881789137</v>
      </c>
      <c r="K59" s="174" t="n">
        <f aca="false">K45*K92</f>
        <v>19.9936102236422</v>
      </c>
      <c r="L59" s="174" t="n">
        <f aca="false">L45*L92</f>
        <v>19.7923322683706</v>
      </c>
      <c r="M59" s="176" t="n">
        <f aca="false">(L59/G59)^(1/5)-1</f>
        <v>-0.00987035336235487</v>
      </c>
    </row>
    <row r="60" customFormat="false" ht="13.5" hidden="false" customHeight="true" outlineLevel="0" collapsed="false">
      <c r="B60" s="177" t="s">
        <v>155</v>
      </c>
      <c r="C60" s="193"/>
      <c r="D60" s="193"/>
      <c r="E60" s="178"/>
      <c r="F60" s="178" t="n">
        <v>8</v>
      </c>
      <c r="G60" s="178" t="n">
        <f aca="false">G46*G93</f>
        <v>8.12371134020619</v>
      </c>
      <c r="H60" s="179" t="n">
        <f aca="false">H46*H93</f>
        <v>8.24742268041237</v>
      </c>
      <c r="I60" s="178" t="n">
        <f aca="false">I46*I93</f>
        <v>8.37113402061856</v>
      </c>
      <c r="J60" s="178" t="n">
        <f aca="false">J46*J93</f>
        <v>8.49484536082474</v>
      </c>
      <c r="K60" s="178" t="n">
        <f aca="false">K46*K93</f>
        <v>8.61855670103093</v>
      </c>
      <c r="L60" s="178" t="n">
        <f aca="false">L46*L93</f>
        <v>8.74226804123711</v>
      </c>
      <c r="M60" s="180" t="n">
        <f aca="false">(L60/G60)^(1/5)-1</f>
        <v>0.0147847379731507</v>
      </c>
    </row>
    <row r="61" customFormat="false" ht="13.5" hidden="false" customHeight="true" outlineLevel="0" collapsed="false">
      <c r="B61" s="181" t="s">
        <v>98</v>
      </c>
      <c r="C61" s="67"/>
      <c r="D61" s="67"/>
      <c r="E61" s="194"/>
      <c r="F61" s="194" t="n">
        <f aca="false">SUM(F57:F60)</f>
        <v>160</v>
      </c>
      <c r="G61" s="194" t="n">
        <f aca="false">SUM(G57:G60)</f>
        <v>176.393915426523</v>
      </c>
      <c r="H61" s="195" t="n">
        <f aca="false">SUM(H57:H60)</f>
        <v>193.276418871949</v>
      </c>
      <c r="I61" s="194" t="n">
        <f aca="false">SUM(I57:I60)</f>
        <v>212.294233764133</v>
      </c>
      <c r="J61" s="194" t="n">
        <f aca="false">SUM(J57:J60)</f>
        <v>233.727807071646</v>
      </c>
      <c r="K61" s="194" t="n">
        <f aca="false">SUM(K57:K60)</f>
        <v>257.899548144879</v>
      </c>
      <c r="L61" s="194" t="n">
        <f aca="false">SUM(L57:L60)</f>
        <v>285.043359813473</v>
      </c>
      <c r="M61" s="196" t="n">
        <f aca="false">(L61/G61)^(1/5)-1</f>
        <v>0.10074181709751</v>
      </c>
    </row>
    <row r="62" customFormat="false" ht="12.75" hidden="false" customHeight="true" outlineLevel="0" collapsed="false">
      <c r="B62" s="181"/>
      <c r="C62" s="47"/>
      <c r="D62" s="47"/>
      <c r="E62" s="47"/>
      <c r="F62" s="198"/>
      <c r="G62" s="198"/>
      <c r="H62" s="199"/>
      <c r="I62" s="198"/>
      <c r="J62" s="198"/>
      <c r="K62" s="198"/>
      <c r="L62" s="198"/>
      <c r="M62" s="200"/>
    </row>
    <row r="63" customFormat="false" ht="13.5" hidden="false" customHeight="true" outlineLevel="0" collapsed="false">
      <c r="B63" s="173" t="s">
        <v>159</v>
      </c>
      <c r="C63" s="165"/>
      <c r="D63" s="165"/>
      <c r="E63" s="165"/>
      <c r="F63" s="191" t="n">
        <f aca="false">F61</f>
        <v>160</v>
      </c>
      <c r="G63" s="191" t="n">
        <f aca="false">G61</f>
        <v>176.393915426523</v>
      </c>
      <c r="H63" s="192" t="n">
        <f aca="false">H61</f>
        <v>193.276418871949</v>
      </c>
      <c r="I63" s="191" t="n">
        <f aca="false">I61</f>
        <v>212.294233764133</v>
      </c>
      <c r="J63" s="191" t="n">
        <f aca="false">J61</f>
        <v>233.727807071646</v>
      </c>
      <c r="K63" s="191" t="n">
        <f aca="false">K61</f>
        <v>257.899548144879</v>
      </c>
      <c r="L63" s="191" t="n">
        <f aca="false">L61</f>
        <v>285.043359813473</v>
      </c>
      <c r="M63" s="200"/>
    </row>
    <row r="64" customFormat="false" ht="13.5" hidden="false" customHeight="true" outlineLevel="0" collapsed="false">
      <c r="B64" s="201" t="s">
        <v>160</v>
      </c>
      <c r="C64" s="47"/>
      <c r="D64" s="47"/>
      <c r="E64" s="47"/>
      <c r="F64" s="178" t="n">
        <f aca="false">5+9</f>
        <v>14</v>
      </c>
      <c r="G64" s="178" t="n">
        <f aca="false">(G61/F61)*F64</f>
        <v>15.4344675998207</v>
      </c>
      <c r="H64" s="179" t="n">
        <f aca="false">(H61/G61)*G64</f>
        <v>16.9116866512955</v>
      </c>
      <c r="I64" s="178" t="n">
        <f aca="false">(I61/H61)*H64</f>
        <v>18.5757454543616</v>
      </c>
      <c r="J64" s="178" t="n">
        <f aca="false">(J61/I61)*I64</f>
        <v>20.451183118769</v>
      </c>
      <c r="K64" s="178" t="n">
        <f aca="false">(K61/J61)*J64</f>
        <v>22.5662104626769</v>
      </c>
      <c r="L64" s="178" t="n">
        <f aca="false">(L61/K61)*K64</f>
        <v>24.9412939836789</v>
      </c>
      <c r="M64" s="200"/>
    </row>
    <row r="65" customFormat="false" ht="13.5" hidden="false" customHeight="true" outlineLevel="0" collapsed="false">
      <c r="B65" s="173" t="s">
        <v>161</v>
      </c>
      <c r="C65" s="165"/>
      <c r="D65" s="165"/>
      <c r="E65" s="165"/>
      <c r="F65" s="174" t="n">
        <f aca="false">F66-SUM(F63:F64)</f>
        <v>-84</v>
      </c>
      <c r="G65" s="174" t="n">
        <f aca="false">G66-SUM(G63:G64)</f>
        <v>-81.8283830263432</v>
      </c>
      <c r="H65" s="175" t="n">
        <f aca="false">G65-10</f>
        <v>-91.8283830263432</v>
      </c>
      <c r="I65" s="174" t="n">
        <f aca="false">H65-10</f>
        <v>-101.828383026343</v>
      </c>
      <c r="J65" s="174" t="n">
        <f aca="false">I65-10</f>
        <v>-111.828383026343</v>
      </c>
      <c r="K65" s="174" t="n">
        <f aca="false">J65-10</f>
        <v>-121.828383026343</v>
      </c>
      <c r="L65" s="174" t="n">
        <f aca="false">K65-10</f>
        <v>-131.828383026343</v>
      </c>
      <c r="M65" s="200"/>
    </row>
    <row r="66" customFormat="false" ht="13.5" hidden="false" customHeight="true" outlineLevel="0" collapsed="false">
      <c r="B66" s="181" t="s">
        <v>120</v>
      </c>
      <c r="C66" s="67"/>
      <c r="D66" s="67"/>
      <c r="E66" s="67"/>
      <c r="F66" s="194" t="n">
        <v>90</v>
      </c>
      <c r="G66" s="194" t="n">
        <v>110</v>
      </c>
      <c r="H66" s="195" t="n">
        <f aca="false">SUM(H63:H65)</f>
        <v>118.359722496901</v>
      </c>
      <c r="I66" s="194" t="n">
        <f aca="false">SUM(I63:I65)</f>
        <v>129.041596192151</v>
      </c>
      <c r="J66" s="194" t="n">
        <f aca="false">SUM(J63:J65)</f>
        <v>142.350607164072</v>
      </c>
      <c r="K66" s="194" t="n">
        <f aca="false">SUM(K63:K65)</f>
        <v>158.637375581212</v>
      </c>
      <c r="L66" s="194" t="n">
        <f aca="false">SUM(L63:L65)</f>
        <v>178.156270770809</v>
      </c>
      <c r="M66" s="196" t="n">
        <f aca="false">(L66/G66)^(1/5)-1</f>
        <v>0.101239259271669</v>
      </c>
      <c r="O66" s="134"/>
    </row>
    <row r="67" customFormat="false" ht="12.75" hidden="false" customHeight="true" outlineLevel="0" collapsed="false">
      <c r="D67" s="181"/>
      <c r="E67" s="181"/>
      <c r="F67" s="181"/>
      <c r="G67" s="181"/>
      <c r="H67" s="187"/>
      <c r="I67" s="181"/>
      <c r="J67" s="181"/>
      <c r="K67" s="181"/>
      <c r="L67" s="181"/>
      <c r="M67" s="172"/>
    </row>
    <row r="68" customFormat="false" ht="13.5" hidden="false" customHeight="true" outlineLevel="0" collapsed="false">
      <c r="B68" s="197" t="s">
        <v>162</v>
      </c>
      <c r="G68" s="188"/>
      <c r="H68" s="189"/>
      <c r="I68" s="188"/>
      <c r="J68" s="188"/>
      <c r="K68" s="188"/>
      <c r="L68" s="188"/>
      <c r="M68" s="172"/>
    </row>
    <row r="69" customFormat="false" ht="13.5" hidden="false" customHeight="true" outlineLevel="0" collapsed="false">
      <c r="B69" s="173" t="s">
        <v>152</v>
      </c>
      <c r="C69" s="190"/>
      <c r="D69" s="190"/>
      <c r="E69" s="202"/>
      <c r="F69" s="85" t="n">
        <v>0.12</v>
      </c>
      <c r="G69" s="85" t="n">
        <v>0.03</v>
      </c>
      <c r="H69" s="203" t="n">
        <v>0.03</v>
      </c>
      <c r="I69" s="85" t="n">
        <v>0.03</v>
      </c>
      <c r="J69" s="85" t="n">
        <v>0.03</v>
      </c>
      <c r="K69" s="85" t="n">
        <v>0.03</v>
      </c>
      <c r="L69" s="85" t="n">
        <v>0.03</v>
      </c>
      <c r="M69" s="172"/>
    </row>
    <row r="70" customFormat="false" ht="13.5" hidden="false" customHeight="true" outlineLevel="0" collapsed="false">
      <c r="B70" s="177" t="s">
        <v>153</v>
      </c>
      <c r="C70" s="193"/>
      <c r="D70" s="193"/>
      <c r="E70" s="193"/>
      <c r="F70" s="88" t="n">
        <v>-0.05</v>
      </c>
      <c r="G70" s="88" t="n">
        <v>0</v>
      </c>
      <c r="H70" s="204" t="n">
        <v>0</v>
      </c>
      <c r="I70" s="88" t="n">
        <v>0</v>
      </c>
      <c r="J70" s="88" t="n">
        <v>0</v>
      </c>
      <c r="K70" s="88" t="n">
        <v>0</v>
      </c>
      <c r="L70" s="88" t="n">
        <v>0</v>
      </c>
      <c r="M70" s="172"/>
    </row>
    <row r="71" customFormat="false" ht="13.5" hidden="false" customHeight="true" outlineLevel="0" collapsed="false">
      <c r="B71" s="173" t="s">
        <v>154</v>
      </c>
      <c r="C71" s="190"/>
      <c r="D71" s="190"/>
      <c r="E71" s="190"/>
      <c r="F71" s="85" t="n">
        <v>0.03</v>
      </c>
      <c r="G71" s="85" t="n">
        <v>0</v>
      </c>
      <c r="H71" s="203" t="n">
        <v>0</v>
      </c>
      <c r="I71" s="85" t="n">
        <v>0</v>
      </c>
      <c r="J71" s="85" t="n">
        <v>0</v>
      </c>
      <c r="K71" s="85" t="n">
        <v>0</v>
      </c>
      <c r="L71" s="85" t="n">
        <v>0</v>
      </c>
      <c r="M71" s="172"/>
    </row>
    <row r="72" customFormat="false" ht="13.5" hidden="false" customHeight="true" outlineLevel="0" collapsed="false">
      <c r="B72" s="177" t="s">
        <v>155</v>
      </c>
      <c r="C72" s="193"/>
      <c r="D72" s="193"/>
      <c r="E72" s="193"/>
      <c r="F72" s="88" t="n">
        <v>0.06</v>
      </c>
      <c r="G72" s="88" t="n">
        <v>0</v>
      </c>
      <c r="H72" s="204" t="n">
        <v>0</v>
      </c>
      <c r="I72" s="88" t="n">
        <v>0</v>
      </c>
      <c r="J72" s="88" t="n">
        <v>0</v>
      </c>
      <c r="K72" s="88" t="n">
        <v>0</v>
      </c>
      <c r="L72" s="88" t="n">
        <v>0</v>
      </c>
      <c r="M72" s="172"/>
    </row>
    <row r="73" customFormat="false" ht="13.5" hidden="false" customHeight="true" outlineLevel="0" collapsed="false">
      <c r="B73" s="181" t="s">
        <v>98</v>
      </c>
      <c r="C73" s="67"/>
      <c r="D73" s="67"/>
      <c r="E73" s="67"/>
      <c r="F73" s="89" t="n">
        <v>0.1</v>
      </c>
      <c r="G73" s="89" t="n">
        <f aca="false">G54/F54-1</f>
        <v>0.0306568568227816</v>
      </c>
      <c r="H73" s="205" t="n">
        <f aca="false">H54/G54-1</f>
        <v>0.0334072022108665</v>
      </c>
      <c r="I73" s="89" t="n">
        <f aca="false">I54/H54-1</f>
        <v>0.0341221943430976</v>
      </c>
      <c r="J73" s="89" t="n">
        <f aca="false">J54/I54-1</f>
        <v>0.0349121432999491</v>
      </c>
      <c r="K73" s="89" t="n">
        <f aca="false">K54/J54-1</f>
        <v>0.0354795279458207</v>
      </c>
      <c r="L73" s="89" t="n">
        <f aca="false">L54/K54-1</f>
        <v>0.0360104167067103</v>
      </c>
      <c r="M73" s="172"/>
    </row>
    <row r="74" customFormat="false" ht="12.75" hidden="false" customHeight="true" outlineLevel="0" collapsed="false">
      <c r="D74" s="181"/>
      <c r="E74" s="181"/>
      <c r="F74" s="181"/>
      <c r="G74" s="181"/>
      <c r="H74" s="187"/>
      <c r="I74" s="181"/>
      <c r="J74" s="181"/>
      <c r="K74" s="181"/>
      <c r="L74" s="181"/>
      <c r="M74" s="172"/>
    </row>
    <row r="75" customFormat="false" ht="13.5" hidden="false" customHeight="true" outlineLevel="0" collapsed="false">
      <c r="B75" s="170" t="s">
        <v>163</v>
      </c>
      <c r="G75" s="188"/>
      <c r="H75" s="189"/>
      <c r="I75" s="188"/>
      <c r="J75" s="188"/>
      <c r="K75" s="188"/>
      <c r="L75" s="188"/>
      <c r="M75" s="172"/>
    </row>
    <row r="76" customFormat="false" ht="13.5" hidden="false" customHeight="true" outlineLevel="0" collapsed="false">
      <c r="B76" s="173" t="s">
        <v>152</v>
      </c>
      <c r="C76" s="174"/>
      <c r="D76" s="174" t="n">
        <f aca="false">D36-C36</f>
        <v>227</v>
      </c>
      <c r="E76" s="174" t="n">
        <f aca="false">E36-D36</f>
        <v>156</v>
      </c>
      <c r="F76" s="174" t="n">
        <f aca="false">F36-E36</f>
        <v>91</v>
      </c>
      <c r="G76" s="174" t="n">
        <f aca="false">G36-F36</f>
        <v>120</v>
      </c>
      <c r="H76" s="175" t="n">
        <f aca="false">H36-G36</f>
        <v>132</v>
      </c>
      <c r="I76" s="174" t="n">
        <f aca="false">I36-H36</f>
        <v>145</v>
      </c>
      <c r="J76" s="174" t="n">
        <f aca="false">J36-I36</f>
        <v>160</v>
      </c>
      <c r="K76" s="174" t="n">
        <f aca="false">K36-J36</f>
        <v>176</v>
      </c>
      <c r="L76" s="174" t="n">
        <f aca="false">L36-K36</f>
        <v>193</v>
      </c>
      <c r="M76" s="176" t="n">
        <f aca="false">(L76/G76)^(1/5)-1</f>
        <v>0.0997025005994738</v>
      </c>
    </row>
    <row r="77" customFormat="false" ht="13.5" hidden="false" customHeight="true" outlineLevel="0" collapsed="false">
      <c r="B77" s="177" t="s">
        <v>153</v>
      </c>
      <c r="C77" s="178"/>
      <c r="D77" s="178" t="n">
        <f aca="false">D37-C37</f>
        <v>165</v>
      </c>
      <c r="E77" s="178" t="n">
        <f aca="false">E37-D37</f>
        <v>112</v>
      </c>
      <c r="F77" s="178" t="n">
        <f aca="false">F37-E37</f>
        <v>59</v>
      </c>
      <c r="G77" s="178" t="n">
        <f aca="false">G37-F37</f>
        <v>53</v>
      </c>
      <c r="H77" s="179" t="n">
        <f aca="false">H37-G37</f>
        <v>29</v>
      </c>
      <c r="I77" s="178" t="n">
        <f aca="false">I37-H37</f>
        <v>31</v>
      </c>
      <c r="J77" s="178" t="n">
        <f aca="false">J37-I37</f>
        <v>32</v>
      </c>
      <c r="K77" s="178" t="n">
        <f aca="false">K37-J37</f>
        <v>34</v>
      </c>
      <c r="L77" s="178" t="n">
        <f aca="false">L37-K37</f>
        <v>35</v>
      </c>
      <c r="M77" s="180" t="n">
        <f aca="false">(L77/G77)^(1/5)-1</f>
        <v>-0.0796385175581451</v>
      </c>
    </row>
    <row r="78" customFormat="false" ht="13.5" hidden="false" customHeight="true" outlineLevel="0" collapsed="false">
      <c r="B78" s="173" t="s">
        <v>154</v>
      </c>
      <c r="C78" s="174"/>
      <c r="D78" s="174" t="n">
        <f aca="false">D38-C38</f>
        <v>33</v>
      </c>
      <c r="E78" s="174" t="n">
        <f aca="false">E38-D38</f>
        <v>10</v>
      </c>
      <c r="F78" s="174" t="n">
        <f aca="false">F38-E38</f>
        <v>-8</v>
      </c>
      <c r="G78" s="174" t="n">
        <f aca="false">G38-F38</f>
        <v>-6</v>
      </c>
      <c r="H78" s="175" t="n">
        <f aca="false">H38-G38</f>
        <v>-6</v>
      </c>
      <c r="I78" s="174" t="n">
        <f aca="false">I38-H38</f>
        <v>-6</v>
      </c>
      <c r="J78" s="174" t="n">
        <f aca="false">J38-I38</f>
        <v>-6</v>
      </c>
      <c r="K78" s="174" t="n">
        <f aca="false">K38-J38</f>
        <v>-6</v>
      </c>
      <c r="L78" s="174" t="n">
        <f aca="false">L38-K38</f>
        <v>-6</v>
      </c>
      <c r="M78" s="176" t="n">
        <f aca="false">(L78/G78)^(1/5)-1</f>
        <v>0</v>
      </c>
    </row>
    <row r="79" customFormat="false" ht="13.5" hidden="false" customHeight="true" outlineLevel="0" collapsed="false">
      <c r="B79" s="177" t="s">
        <v>155</v>
      </c>
      <c r="C79" s="178"/>
      <c r="D79" s="178" t="n">
        <f aca="false">D39-C39</f>
        <v>69</v>
      </c>
      <c r="E79" s="178" t="n">
        <f aca="false">E39-D39</f>
        <v>13</v>
      </c>
      <c r="F79" s="178" t="n">
        <f aca="false">F39-E39</f>
        <v>3</v>
      </c>
      <c r="G79" s="178" t="n">
        <f aca="false">G39-F39</f>
        <v>3</v>
      </c>
      <c r="H79" s="179" t="n">
        <f aca="false">H39-G39</f>
        <v>3</v>
      </c>
      <c r="I79" s="178" t="n">
        <f aca="false">I39-H39</f>
        <v>3</v>
      </c>
      <c r="J79" s="178" t="n">
        <f aca="false">J39-I39</f>
        <v>3</v>
      </c>
      <c r="K79" s="178" t="n">
        <f aca="false">K39-J39</f>
        <v>3</v>
      </c>
      <c r="L79" s="178" t="n">
        <f aca="false">L39-K39</f>
        <v>3</v>
      </c>
      <c r="M79" s="180" t="n">
        <f aca="false">(L79/G79)^(1/5)-1</f>
        <v>0</v>
      </c>
    </row>
    <row r="80" customFormat="false" ht="13.5" hidden="false" customHeight="true" outlineLevel="0" collapsed="false">
      <c r="B80" s="181" t="s">
        <v>98</v>
      </c>
      <c r="C80" s="182"/>
      <c r="D80" s="182" t="n">
        <f aca="false">D40-C40</f>
        <v>494</v>
      </c>
      <c r="E80" s="182" t="n">
        <f aca="false">E40-D40</f>
        <v>291</v>
      </c>
      <c r="F80" s="182" t="n">
        <f aca="false">F40-E40</f>
        <v>145</v>
      </c>
      <c r="G80" s="182" t="n">
        <f aca="false">G40-F40</f>
        <v>170</v>
      </c>
      <c r="H80" s="184" t="n">
        <f aca="false">H40-G40</f>
        <v>158</v>
      </c>
      <c r="I80" s="182" t="n">
        <f aca="false">I40-H40</f>
        <v>173</v>
      </c>
      <c r="J80" s="182" t="n">
        <f aca="false">J40-I40</f>
        <v>189</v>
      </c>
      <c r="K80" s="182" t="n">
        <f aca="false">K40-J40</f>
        <v>207</v>
      </c>
      <c r="L80" s="182" t="n">
        <f aca="false">L40-K40</f>
        <v>225</v>
      </c>
      <c r="M80" s="185" t="n">
        <f aca="false">(L80/G80)^(1/5)-1</f>
        <v>0.0576615571948691</v>
      </c>
    </row>
    <row r="81" customFormat="false" ht="12.75" hidden="false" customHeight="true" outlineLevel="0" collapsed="false">
      <c r="H81" s="113"/>
      <c r="M81" s="172"/>
    </row>
    <row r="82" customFormat="false" ht="13.5" hidden="false" customHeight="true" outlineLevel="0" collapsed="false">
      <c r="B82" s="170" t="s">
        <v>164</v>
      </c>
      <c r="H82" s="113"/>
      <c r="M82" s="172"/>
    </row>
    <row r="83" customFormat="false" ht="13.5" hidden="false" customHeight="true" outlineLevel="0" collapsed="false">
      <c r="B83" s="173" t="s">
        <v>152</v>
      </c>
      <c r="C83" s="190"/>
      <c r="D83" s="190" t="n">
        <f aca="false">D36/C36-1</f>
        <v>0.31267217630854</v>
      </c>
      <c r="E83" s="202" t="n">
        <f aca="false">E36/D36-1</f>
        <v>0.163693599160546</v>
      </c>
      <c r="F83" s="85" t="n">
        <f aca="false">F36/E36-1</f>
        <v>0.0820559062218214</v>
      </c>
      <c r="G83" s="85" t="n">
        <v>0.1</v>
      </c>
      <c r="H83" s="203" t="n">
        <v>0.1</v>
      </c>
      <c r="I83" s="85" t="n">
        <v>0.1</v>
      </c>
      <c r="J83" s="85" t="n">
        <v>0.1</v>
      </c>
      <c r="K83" s="85" t="n">
        <v>0.1</v>
      </c>
      <c r="L83" s="85" t="n">
        <v>0.1</v>
      </c>
      <c r="M83" s="172"/>
    </row>
    <row r="84" customFormat="false" ht="13.5" hidden="false" customHeight="true" outlineLevel="0" collapsed="false">
      <c r="B84" s="177" t="s">
        <v>153</v>
      </c>
      <c r="C84" s="193"/>
      <c r="D84" s="193" t="n">
        <f aca="false">D37/C37-1</f>
        <v>0.854922279792746</v>
      </c>
      <c r="E84" s="193" t="n">
        <f aca="false">E37/D37-1</f>
        <v>0.312849162011173</v>
      </c>
      <c r="F84" s="88" t="n">
        <f aca="false">F37/E37-1</f>
        <v>0.125531914893617</v>
      </c>
      <c r="G84" s="88" t="n">
        <v>0.1</v>
      </c>
      <c r="H84" s="204" t="n">
        <v>0.05</v>
      </c>
      <c r="I84" s="88" t="n">
        <v>0.05</v>
      </c>
      <c r="J84" s="88" t="n">
        <v>0.05</v>
      </c>
      <c r="K84" s="88" t="n">
        <v>0.05</v>
      </c>
      <c r="L84" s="88" t="n">
        <v>0.05</v>
      </c>
      <c r="M84" s="172"/>
    </row>
    <row r="85" customFormat="false" ht="13.5" hidden="false" customHeight="true" outlineLevel="0" collapsed="false">
      <c r="B85" s="173" t="s">
        <v>154</v>
      </c>
      <c r="C85" s="190"/>
      <c r="D85" s="190" t="n">
        <f aca="false">D38/C38-1</f>
        <v>0.0558375634517767</v>
      </c>
      <c r="E85" s="190" t="n">
        <f aca="false">E38/D38-1</f>
        <v>0.016025641025641</v>
      </c>
      <c r="F85" s="85" t="n">
        <f aca="false">F38/E38-1</f>
        <v>-0.0126182965299685</v>
      </c>
      <c r="G85" s="85" t="n">
        <v>-0.01</v>
      </c>
      <c r="H85" s="203" t="n">
        <v>-0.01</v>
      </c>
      <c r="I85" s="85" t="n">
        <v>-0.01</v>
      </c>
      <c r="J85" s="85" t="n">
        <v>-0.01</v>
      </c>
      <c r="K85" s="85" t="n">
        <v>-0.01</v>
      </c>
      <c r="L85" s="85" t="n">
        <v>-0.01</v>
      </c>
      <c r="M85" s="172"/>
    </row>
    <row r="86" customFormat="false" ht="13.5" hidden="false" customHeight="true" outlineLevel="0" collapsed="false">
      <c r="B86" s="177" t="s">
        <v>155</v>
      </c>
      <c r="C86" s="193"/>
      <c r="D86" s="193" t="n">
        <f aca="false">D39/C39-1</f>
        <v>0.63302752293578</v>
      </c>
      <c r="E86" s="193" t="n">
        <f aca="false">E39/D39-1</f>
        <v>0.0730337078651686</v>
      </c>
      <c r="F86" s="88" t="n">
        <f aca="false">F39/E39-1</f>
        <v>0.0157068062827226</v>
      </c>
      <c r="G86" s="88" t="n">
        <f aca="false">G39/F39-1</f>
        <v>0.0154639175257731</v>
      </c>
      <c r="H86" s="204" t="n">
        <f aca="false">G86</f>
        <v>0.0154639175257731</v>
      </c>
      <c r="I86" s="88" t="n">
        <f aca="false">H86</f>
        <v>0.0154639175257731</v>
      </c>
      <c r="J86" s="88" t="n">
        <f aca="false">I86</f>
        <v>0.0154639175257731</v>
      </c>
      <c r="K86" s="88" t="n">
        <f aca="false">J86</f>
        <v>0.0154639175257731</v>
      </c>
      <c r="L86" s="88" t="n">
        <f aca="false">K86</f>
        <v>0.0154639175257731</v>
      </c>
      <c r="M86" s="172"/>
    </row>
    <row r="87" customFormat="false" ht="13.5" hidden="false" customHeight="true" outlineLevel="0" collapsed="false">
      <c r="B87" s="181" t="s">
        <v>98</v>
      </c>
      <c r="C87" s="67"/>
      <c r="D87" s="67" t="n">
        <f aca="false">D40/C40-1</f>
        <v>0.305126621371217</v>
      </c>
      <c r="E87" s="67" t="n">
        <f aca="false">E40/D40-1</f>
        <v>0.137718883104591</v>
      </c>
      <c r="F87" s="89" t="n">
        <f aca="false">F40/E40-1</f>
        <v>0.0603161397670549</v>
      </c>
      <c r="G87" s="89" t="n">
        <f aca="false">G40/F40-1</f>
        <v>0.0666928207140054</v>
      </c>
      <c r="H87" s="205" t="n">
        <f aca="false">H40/G40-1</f>
        <v>0.0581095991173226</v>
      </c>
      <c r="I87" s="89" t="n">
        <f aca="false">I40/H40-1</f>
        <v>0.0601320820298923</v>
      </c>
      <c r="J87" s="89" t="n">
        <f aca="false">J40/I40-1</f>
        <v>0.0619672131147542</v>
      </c>
      <c r="K87" s="89" t="n">
        <f aca="false">K40/J40-1</f>
        <v>0.063908613769682</v>
      </c>
      <c r="L87" s="89" t="n">
        <f aca="false">L40/K40-1</f>
        <v>0.0652930934416716</v>
      </c>
      <c r="M87" s="172"/>
    </row>
    <row r="88" customFormat="false" ht="12.75" hidden="false" customHeight="true" outlineLevel="0" collapsed="false">
      <c r="H88" s="113"/>
      <c r="M88" s="172"/>
    </row>
    <row r="89" customFormat="false" ht="13.5" hidden="false" customHeight="true" outlineLevel="0" collapsed="false">
      <c r="B89" s="170" t="s">
        <v>165</v>
      </c>
      <c r="H89" s="113"/>
      <c r="M89" s="172"/>
    </row>
    <row r="90" customFormat="false" ht="13.5" hidden="false" customHeight="true" outlineLevel="0" collapsed="false">
      <c r="B90" s="173" t="s">
        <v>152</v>
      </c>
      <c r="C90" s="190"/>
      <c r="D90" s="190"/>
      <c r="E90" s="202"/>
      <c r="F90" s="85" t="n">
        <f aca="false">F57/F43</f>
        <v>0.106471816283925</v>
      </c>
      <c r="G90" s="85" t="n">
        <f aca="false">F90</f>
        <v>0.106471816283925</v>
      </c>
      <c r="H90" s="203" t="n">
        <f aca="false">G90</f>
        <v>0.106471816283925</v>
      </c>
      <c r="I90" s="85" t="n">
        <f aca="false">H90</f>
        <v>0.106471816283925</v>
      </c>
      <c r="J90" s="85" t="n">
        <f aca="false">I90</f>
        <v>0.106471816283925</v>
      </c>
      <c r="K90" s="85" t="n">
        <f aca="false">J90</f>
        <v>0.106471816283925</v>
      </c>
      <c r="L90" s="85" t="n">
        <f aca="false">K90</f>
        <v>0.106471816283925</v>
      </c>
      <c r="M90" s="172"/>
    </row>
    <row r="91" customFormat="false" ht="13.5" hidden="false" customHeight="true" outlineLevel="0" collapsed="false">
      <c r="B91" s="177" t="s">
        <v>153</v>
      </c>
      <c r="C91" s="193"/>
      <c r="D91" s="193"/>
      <c r="E91" s="193"/>
      <c r="F91" s="88" t="n">
        <f aca="false">F58/F44</f>
        <v>0.111538461538462</v>
      </c>
      <c r="G91" s="88" t="n">
        <f aca="false">F91</f>
        <v>0.111538461538462</v>
      </c>
      <c r="H91" s="204" t="n">
        <f aca="false">G91</f>
        <v>0.111538461538462</v>
      </c>
      <c r="I91" s="88" t="n">
        <f aca="false">H91</f>
        <v>0.111538461538462</v>
      </c>
      <c r="J91" s="88" t="n">
        <f aca="false">I91</f>
        <v>0.111538461538462</v>
      </c>
      <c r="K91" s="88" t="n">
        <f aca="false">J91</f>
        <v>0.111538461538462</v>
      </c>
      <c r="L91" s="88" t="n">
        <f aca="false">K91</f>
        <v>0.111538461538462</v>
      </c>
      <c r="M91" s="172"/>
    </row>
    <row r="92" customFormat="false" ht="13.5" hidden="false" customHeight="true" outlineLevel="0" collapsed="false">
      <c r="B92" s="173" t="s">
        <v>154</v>
      </c>
      <c r="C92" s="190"/>
      <c r="D92" s="190"/>
      <c r="E92" s="190"/>
      <c r="F92" s="85" t="n">
        <f aca="false">F59/F45</f>
        <v>0.0921052631578947</v>
      </c>
      <c r="G92" s="85" t="n">
        <f aca="false">F92</f>
        <v>0.0921052631578947</v>
      </c>
      <c r="H92" s="203" t="n">
        <f aca="false">G92</f>
        <v>0.0921052631578947</v>
      </c>
      <c r="I92" s="85" t="n">
        <f aca="false">H92</f>
        <v>0.0921052631578947</v>
      </c>
      <c r="J92" s="85" t="n">
        <f aca="false">I92</f>
        <v>0.0921052631578947</v>
      </c>
      <c r="K92" s="85" t="n">
        <f aca="false">J92</f>
        <v>0.0921052631578947</v>
      </c>
      <c r="L92" s="85" t="n">
        <f aca="false">K92</f>
        <v>0.0921052631578947</v>
      </c>
      <c r="M92" s="172"/>
    </row>
    <row r="93" customFormat="false" ht="13.5" hidden="false" customHeight="true" outlineLevel="0" collapsed="false">
      <c r="B93" s="177" t="s">
        <v>155</v>
      </c>
      <c r="C93" s="193"/>
      <c r="D93" s="193"/>
      <c r="E93" s="193"/>
      <c r="F93" s="88" t="n">
        <f aca="false">F60/F46</f>
        <v>0.0888888888888889</v>
      </c>
      <c r="G93" s="88" t="n">
        <f aca="false">F93</f>
        <v>0.0888888888888889</v>
      </c>
      <c r="H93" s="204" t="n">
        <f aca="false">G93</f>
        <v>0.0888888888888889</v>
      </c>
      <c r="I93" s="88" t="n">
        <f aca="false">H93</f>
        <v>0.0888888888888889</v>
      </c>
      <c r="J93" s="88" t="n">
        <f aca="false">I93</f>
        <v>0.0888888888888889</v>
      </c>
      <c r="K93" s="88" t="n">
        <f aca="false">J93</f>
        <v>0.0888888888888889</v>
      </c>
      <c r="L93" s="88" t="n">
        <f aca="false">K93</f>
        <v>0.0888888888888889</v>
      </c>
      <c r="M93" s="172"/>
    </row>
    <row r="94" customFormat="false" ht="13.5" hidden="false" customHeight="true" outlineLevel="0" collapsed="false">
      <c r="B94" s="181" t="s">
        <v>98</v>
      </c>
      <c r="C94" s="67"/>
      <c r="D94" s="67"/>
      <c r="E94" s="67"/>
      <c r="F94" s="89" t="n">
        <f aca="false">F61/F47</f>
        <v>0.104166666666667</v>
      </c>
      <c r="G94" s="89" t="n">
        <f aca="false">G61/G47</f>
        <v>0.104457328771429</v>
      </c>
      <c r="H94" s="205" t="n">
        <f aca="false">H61/H47</f>
        <v>0.10467236748311</v>
      </c>
      <c r="I94" s="89" t="n">
        <f aca="false">I61/I47</f>
        <v>0.104871997160231</v>
      </c>
      <c r="J94" s="89" t="n">
        <f aca="false">J61/J47</f>
        <v>0.105055098267985</v>
      </c>
      <c r="K94" s="89" t="n">
        <f aca="false">K61/K47</f>
        <v>0.105223195837551</v>
      </c>
      <c r="L94" s="89" t="n">
        <f aca="false">L61/L47</f>
        <v>0.10537524605722</v>
      </c>
      <c r="M94" s="172"/>
    </row>
    <row r="96" customFormat="false" ht="16.5" hidden="false" customHeight="true" outlineLevel="0" collapsed="false">
      <c r="M96" s="206" t="s">
        <v>166</v>
      </c>
      <c r="N96" s="206"/>
      <c r="O96" s="206"/>
      <c r="P96" s="206"/>
    </row>
    <row r="97" customFormat="false" ht="16.5" hidden="false" customHeight="true" outlineLevel="0" collapsed="false">
      <c r="G97" s="197"/>
      <c r="H97" s="197"/>
      <c r="M97" s="197" t="s">
        <v>167</v>
      </c>
      <c r="N97" s="197" t="s">
        <v>168</v>
      </c>
      <c r="O97" s="197" t="s">
        <v>169</v>
      </c>
      <c r="P97" s="197" t="s">
        <v>170</v>
      </c>
    </row>
    <row r="98" customFormat="false" ht="15" hidden="false" customHeight="true" outlineLevel="0" collapsed="false">
      <c r="G98" s="207"/>
      <c r="H98" s="208"/>
      <c r="M98" s="177" t="s">
        <v>152</v>
      </c>
      <c r="N98" s="177" t="s">
        <v>171</v>
      </c>
      <c r="O98" s="177" t="s">
        <v>172</v>
      </c>
      <c r="P98" s="177" t="s">
        <v>173</v>
      </c>
    </row>
    <row r="99" customFormat="false" ht="15" hidden="false" customHeight="true" outlineLevel="0" collapsed="false">
      <c r="G99" s="207"/>
      <c r="H99" s="208"/>
      <c r="M99" s="177" t="s">
        <v>153</v>
      </c>
      <c r="N99" s="177" t="s">
        <v>174</v>
      </c>
      <c r="O99" s="177" t="s">
        <v>175</v>
      </c>
      <c r="P99" s="177" t="s">
        <v>176</v>
      </c>
    </row>
    <row r="100" customFormat="false" ht="15" hidden="false" customHeight="true" outlineLevel="0" collapsed="false">
      <c r="G100" s="207"/>
      <c r="H100" s="208"/>
      <c r="M100" s="177" t="s">
        <v>154</v>
      </c>
      <c r="N100" s="177" t="s">
        <v>174</v>
      </c>
      <c r="O100" s="177" t="s">
        <v>177</v>
      </c>
      <c r="P100" s="177" t="s">
        <v>178</v>
      </c>
    </row>
    <row r="101" customFormat="false" ht="15" hidden="false" customHeight="true" outlineLevel="0" collapsed="false">
      <c r="G101" s="207"/>
      <c r="H101" s="208"/>
      <c r="M101" s="177" t="s">
        <v>155</v>
      </c>
      <c r="N101" s="177" t="s">
        <v>174</v>
      </c>
      <c r="O101" s="177" t="s">
        <v>179</v>
      </c>
      <c r="P101" s="177" t="s">
        <v>180</v>
      </c>
    </row>
    <row r="102" customFormat="false" ht="15" hidden="false" customHeight="true" outlineLevel="0" collapsed="false">
      <c r="G102" s="177"/>
      <c r="H102" s="208"/>
      <c r="M102" s="177" t="s">
        <v>181</v>
      </c>
      <c r="N102" s="177" t="s">
        <v>182</v>
      </c>
      <c r="O102" s="177" t="s">
        <v>183</v>
      </c>
      <c r="P102" s="177" t="s">
        <v>184</v>
      </c>
    </row>
  </sheetData>
  <mergeCells count="3">
    <mergeCell ref="B2:F2"/>
    <mergeCell ref="B11:F11"/>
    <mergeCell ref="M96:P9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N10" activeCellId="0" sqref="N10"/>
    </sheetView>
  </sheetViews>
  <sheetFormatPr defaultColWidth="10.66796875" defaultRowHeight="15" customHeight="true" zeroHeight="false" outlineLevelRow="0" outlineLevelCol="0"/>
  <sheetData>
    <row r="1" customFormat="false" ht="1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6.5" hidden="false" customHeight="true" outlineLevel="0" collapsed="false">
      <c r="A2" s="49" t="n">
        <f aca="false">Summary!C8</f>
        <v>46113</v>
      </c>
      <c r="B2" s="3" t="s">
        <v>33</v>
      </c>
      <c r="C2" s="3"/>
      <c r="D2" s="3"/>
      <c r="E2" s="3"/>
      <c r="F2" s="3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1"/>
      <c r="B3" s="1" t="s">
        <v>34</v>
      </c>
      <c r="C3" s="1"/>
      <c r="D3" s="1"/>
      <c r="E3" s="1"/>
      <c r="F3" s="93" t="n">
        <f aca="false">32.45</f>
        <v>32.45</v>
      </c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/>
      <c r="B4" s="1" t="s">
        <v>77</v>
      </c>
      <c r="C4" s="1"/>
      <c r="D4" s="1"/>
      <c r="E4" s="1"/>
      <c r="F4" s="94" t="n">
        <v>145.7</v>
      </c>
      <c r="G4" s="1"/>
      <c r="H4" s="1"/>
      <c r="I4" s="1"/>
      <c r="J4" s="1"/>
      <c r="K4" s="1"/>
      <c r="L4" s="1"/>
    </row>
    <row r="5" customFormat="false" ht="15" hidden="false" customHeight="true" outlineLevel="0" collapsed="false">
      <c r="A5" s="1"/>
      <c r="B5" s="47" t="s">
        <v>36</v>
      </c>
      <c r="C5" s="47"/>
      <c r="D5" s="47"/>
      <c r="E5" s="47"/>
      <c r="F5" s="95" t="n">
        <f aca="false">F3*F4</f>
        <v>4727.965</v>
      </c>
      <c r="G5" s="1"/>
      <c r="H5" s="1"/>
      <c r="I5" s="1"/>
      <c r="J5" s="1"/>
      <c r="K5" s="1"/>
      <c r="L5" s="1"/>
    </row>
    <row r="6" customFormat="false" ht="15" hidden="false" customHeight="true" outlineLevel="0" collapsed="false">
      <c r="A6" s="1"/>
      <c r="B6" s="1" t="s">
        <v>185</v>
      </c>
      <c r="C6" s="1"/>
      <c r="D6" s="1"/>
      <c r="E6" s="1"/>
      <c r="F6" s="46" t="n">
        <f aca="false">3203.2</f>
        <v>3203.2</v>
      </c>
      <c r="G6" s="1"/>
      <c r="H6" s="1"/>
      <c r="I6" s="1"/>
      <c r="J6" s="1"/>
      <c r="K6" s="1"/>
      <c r="L6" s="1"/>
    </row>
    <row r="7" customFormat="false" ht="15" hidden="false" customHeight="true" outlineLevel="0" collapsed="false">
      <c r="A7" s="1"/>
      <c r="B7" s="1" t="s">
        <v>38</v>
      </c>
      <c r="C7" s="1"/>
      <c r="D7" s="1"/>
      <c r="E7" s="1"/>
      <c r="F7" s="46" t="n">
        <v>-791.3</v>
      </c>
      <c r="G7" s="1"/>
      <c r="H7" s="1"/>
      <c r="I7" s="1"/>
      <c r="J7" s="1"/>
      <c r="K7" s="1"/>
      <c r="L7" s="1"/>
    </row>
    <row r="8" customFormat="false" ht="15" hidden="false" customHeight="true" outlineLevel="0" collapsed="false">
      <c r="A8" s="1"/>
      <c r="B8" s="47" t="s">
        <v>40</v>
      </c>
      <c r="C8" s="47"/>
      <c r="D8" s="47"/>
      <c r="E8" s="47"/>
      <c r="F8" s="95" t="n">
        <f aca="false">SUM(F5:F7)</f>
        <v>7139.865</v>
      </c>
      <c r="G8" s="1"/>
      <c r="H8" s="1"/>
      <c r="I8" s="1"/>
      <c r="J8" s="1"/>
      <c r="K8" s="1"/>
      <c r="L8" s="1"/>
    </row>
    <row r="9" customFormat="false" ht="15" hidden="false" customHeight="true" outlineLevel="0" collapsed="false">
      <c r="A9" s="43"/>
      <c r="B9" s="43" t="s">
        <v>5</v>
      </c>
      <c r="C9" s="96"/>
      <c r="D9" s="96"/>
      <c r="E9" s="96"/>
      <c r="F9" s="51" t="n">
        <f aca="false">F8/E42</f>
        <v>8.37206561759809</v>
      </c>
      <c r="G9" s="43"/>
      <c r="H9" s="43"/>
      <c r="I9" s="43"/>
      <c r="J9" s="43"/>
      <c r="K9" s="43"/>
      <c r="L9" s="43"/>
    </row>
    <row r="10" customFormat="false" ht="15" hidden="false" customHeight="true" outlineLevel="0" collapsed="false">
      <c r="A10" s="43"/>
      <c r="B10" s="43" t="s">
        <v>6</v>
      </c>
      <c r="C10" s="96"/>
      <c r="D10" s="96"/>
      <c r="E10" s="96"/>
      <c r="F10" s="51" t="n">
        <f aca="false">F8/F42</f>
        <v>8.00612805561785</v>
      </c>
      <c r="G10" s="43"/>
      <c r="H10" s="43"/>
      <c r="I10" s="43"/>
      <c r="J10" s="43"/>
      <c r="K10" s="43"/>
      <c r="L10" s="43"/>
    </row>
    <row r="11" customFormat="false" ht="15" hidden="false" customHeight="true" outlineLevel="0" collapsed="false">
      <c r="A11" s="1"/>
      <c r="B11" s="47"/>
      <c r="C11" s="47"/>
      <c r="D11" s="47"/>
      <c r="E11" s="47"/>
      <c r="F11" s="97"/>
      <c r="G11" s="1"/>
      <c r="H11" s="1"/>
      <c r="I11" s="1"/>
      <c r="J11" s="1"/>
      <c r="K11" s="1"/>
      <c r="L11" s="1"/>
    </row>
    <row r="12" customFormat="false" ht="16.5" hidden="false" customHeight="true" outlineLevel="0" collapsed="false">
      <c r="A12" s="49" t="n">
        <f aca="false">Summary!G8</f>
        <v>47848</v>
      </c>
      <c r="B12" s="3" t="s">
        <v>79</v>
      </c>
      <c r="C12" s="3"/>
      <c r="D12" s="3"/>
      <c r="E12" s="3"/>
      <c r="F12" s="3"/>
      <c r="G12" s="1"/>
      <c r="H12" s="1"/>
      <c r="I12" s="1"/>
      <c r="J12" s="1"/>
      <c r="K12" s="1"/>
      <c r="L12" s="1"/>
    </row>
    <row r="13" customFormat="false" ht="15" hidden="false" customHeight="true" outlineLevel="0" collapsed="false">
      <c r="A13" s="1"/>
      <c r="B13" s="1" t="s">
        <v>80</v>
      </c>
      <c r="C13" s="47"/>
      <c r="D13" s="47"/>
      <c r="E13" s="47"/>
      <c r="F13" s="98" t="n">
        <f aca="false">J42</f>
        <v>1442.0024225</v>
      </c>
      <c r="G13" s="1"/>
      <c r="H13" s="1"/>
      <c r="I13" s="1"/>
      <c r="J13" s="1"/>
      <c r="K13" s="1"/>
      <c r="L13" s="1"/>
    </row>
    <row r="14" customFormat="false" ht="15" hidden="false" customHeight="true" outlineLevel="0" collapsed="false">
      <c r="A14" s="1"/>
      <c r="B14" s="1" t="s">
        <v>8</v>
      </c>
      <c r="C14" s="47"/>
      <c r="D14" s="47"/>
      <c r="E14" s="47"/>
      <c r="F14" s="53" t="n">
        <f aca="false">Summary!H8</f>
        <v>10</v>
      </c>
      <c r="G14" s="1"/>
      <c r="H14" s="1"/>
      <c r="I14" s="1"/>
      <c r="J14" s="1"/>
      <c r="K14" s="1"/>
      <c r="L14" s="1"/>
    </row>
    <row r="15" customFormat="false" ht="15" hidden="false" customHeight="true" outlineLevel="0" collapsed="false">
      <c r="A15" s="1"/>
      <c r="B15" s="47" t="s">
        <v>40</v>
      </c>
      <c r="C15" s="47"/>
      <c r="D15" s="47"/>
      <c r="E15" s="47"/>
      <c r="F15" s="95" t="n">
        <f aca="false">F13*F14</f>
        <v>14420.024225</v>
      </c>
      <c r="G15" s="1"/>
      <c r="H15" s="1"/>
      <c r="I15" s="1"/>
      <c r="J15" s="1"/>
      <c r="K15" s="1"/>
      <c r="L15" s="1"/>
    </row>
    <row r="16" customFormat="false" ht="15" hidden="false" customHeight="true" outlineLevel="0" collapsed="false">
      <c r="A16" s="1"/>
      <c r="B16" s="1" t="s">
        <v>81</v>
      </c>
      <c r="C16" s="47"/>
      <c r="D16" s="47"/>
      <c r="E16" s="47"/>
      <c r="F16" s="46" t="n">
        <f aca="false">-F6</f>
        <v>-3203.2</v>
      </c>
      <c r="G16" s="1"/>
      <c r="H16" s="1"/>
      <c r="I16" s="1"/>
      <c r="J16" s="1"/>
      <c r="K16" s="1"/>
      <c r="L16" s="1"/>
    </row>
    <row r="17" customFormat="false" ht="15" hidden="false" customHeight="true" outlineLevel="0" collapsed="false">
      <c r="A17" s="1"/>
      <c r="B17" s="1" t="s">
        <v>46</v>
      </c>
      <c r="C17" s="47"/>
      <c r="D17" s="47"/>
      <c r="E17" s="47"/>
      <c r="F17" s="46" t="n">
        <f aca="false">F33</f>
        <v>3601.839888025</v>
      </c>
      <c r="G17" s="1"/>
      <c r="H17" s="1"/>
      <c r="I17" s="1"/>
      <c r="J17" s="1"/>
      <c r="K17" s="1"/>
      <c r="L17" s="1"/>
    </row>
    <row r="18" customFormat="false" ht="15" hidden="false" customHeight="true" outlineLevel="0" collapsed="false">
      <c r="A18" s="1"/>
      <c r="B18" s="47" t="s">
        <v>36</v>
      </c>
      <c r="C18" s="47"/>
      <c r="D18" s="47"/>
      <c r="E18" s="47"/>
      <c r="F18" s="48" t="n">
        <f aca="false">SUM(F15:F17)</f>
        <v>14818.664113025</v>
      </c>
      <c r="G18" s="1"/>
      <c r="H18" s="1"/>
      <c r="I18" s="1"/>
      <c r="J18" s="1"/>
      <c r="K18" s="1"/>
      <c r="L18" s="1"/>
    </row>
    <row r="19" customFormat="false" ht="15" hidden="false" customHeight="true" outlineLevel="0" collapsed="false">
      <c r="A19" s="1"/>
      <c r="B19" s="1" t="s">
        <v>47</v>
      </c>
      <c r="C19" s="47"/>
      <c r="D19" s="47"/>
      <c r="E19" s="47"/>
      <c r="F19" s="46" t="n">
        <f aca="false">F4</f>
        <v>145.7</v>
      </c>
      <c r="G19" s="1"/>
      <c r="H19" s="1"/>
      <c r="I19" s="1"/>
      <c r="J19" s="1"/>
      <c r="K19" s="1"/>
      <c r="L19" s="1"/>
    </row>
    <row r="20" customFormat="false" ht="15" hidden="false" customHeight="true" outlineLevel="0" collapsed="false">
      <c r="A20" s="1"/>
      <c r="B20" s="47" t="s">
        <v>48</v>
      </c>
      <c r="C20" s="47"/>
      <c r="D20" s="47"/>
      <c r="E20" s="47"/>
      <c r="F20" s="100" t="n">
        <f aca="false">F18/F19</f>
        <v>101.706685744852</v>
      </c>
      <c r="G20" s="1"/>
      <c r="H20" s="1"/>
      <c r="I20" s="1"/>
      <c r="J20" s="1"/>
      <c r="K20" s="1"/>
      <c r="L20" s="1"/>
    </row>
    <row r="21" customFormat="false" ht="15" hidden="false" customHeight="true" outlineLevel="0" collapsed="false">
      <c r="A21" s="1"/>
      <c r="B21" s="47"/>
      <c r="C21" s="47"/>
      <c r="D21" s="47"/>
      <c r="E21" s="47"/>
      <c r="F21" s="97"/>
      <c r="G21" s="1"/>
      <c r="H21" s="1"/>
      <c r="I21" s="1"/>
      <c r="J21" s="1"/>
      <c r="K21" s="1"/>
      <c r="L21" s="1"/>
    </row>
    <row r="22" customFormat="false" ht="15" hidden="false" customHeight="true" outlineLevel="0" collapsed="false">
      <c r="A22" s="1"/>
      <c r="B22" s="45" t="s">
        <v>49</v>
      </c>
      <c r="C22" s="56"/>
      <c r="D22" s="47"/>
      <c r="E22" s="47"/>
      <c r="F22" s="97"/>
      <c r="G22" s="1"/>
      <c r="H22" s="1"/>
      <c r="I22" s="1"/>
      <c r="J22" s="1"/>
      <c r="K22" s="1"/>
      <c r="L22" s="1"/>
    </row>
    <row r="23" customFormat="false" ht="15" hidden="false" customHeight="true" outlineLevel="0" collapsed="false">
      <c r="A23" s="1"/>
      <c r="B23" s="1" t="s">
        <v>50</v>
      </c>
      <c r="C23" s="57"/>
      <c r="D23" s="47"/>
      <c r="E23" s="47"/>
      <c r="F23" s="57" t="n">
        <f aca="false">F20/F3-1</f>
        <v>2.13425842048852</v>
      </c>
      <c r="G23" s="1"/>
      <c r="H23" s="1"/>
      <c r="I23" s="1"/>
      <c r="J23" s="1"/>
      <c r="K23" s="1"/>
      <c r="L23" s="1"/>
    </row>
    <row r="24" customFormat="false" ht="15" hidden="false" customHeight="true" outlineLevel="0" collapsed="false">
      <c r="A24" s="1"/>
      <c r="B24" s="1" t="s">
        <v>10</v>
      </c>
      <c r="C24" s="58"/>
      <c r="D24" s="47"/>
      <c r="E24" s="47"/>
      <c r="F24" s="58" t="n">
        <f aca="false">F20/F3</f>
        <v>3.13425842048852</v>
      </c>
      <c r="G24" s="1"/>
      <c r="H24" s="1"/>
      <c r="I24" s="1"/>
      <c r="J24" s="1"/>
      <c r="K24" s="1"/>
      <c r="L24" s="1"/>
    </row>
    <row r="25" customFormat="false" ht="15" hidden="false" customHeight="true" outlineLevel="0" collapsed="false">
      <c r="A25" s="59" t="n">
        <f aca="false">(A12-A2)/365</f>
        <v>4.75342465753425</v>
      </c>
      <c r="B25" s="47" t="s">
        <v>9</v>
      </c>
      <c r="C25" s="60"/>
      <c r="D25" s="47"/>
      <c r="E25" s="47"/>
      <c r="F25" s="60" t="n">
        <f aca="false">F24^(1/A25)-1</f>
        <v>0.271669280109797</v>
      </c>
      <c r="G25" s="1"/>
      <c r="H25" s="1"/>
      <c r="I25" s="1"/>
      <c r="J25" s="1"/>
      <c r="K25" s="1"/>
      <c r="L25" s="1"/>
    </row>
    <row r="26" customFormat="false" ht="15" hidden="false" customHeight="true" outlineLevel="0" collapsed="false">
      <c r="A26" s="1"/>
      <c r="B26" s="47"/>
      <c r="C26" s="47"/>
      <c r="D26" s="47"/>
      <c r="E26" s="47"/>
      <c r="F26" s="97"/>
      <c r="G26" s="1"/>
      <c r="H26" s="1"/>
      <c r="I26" s="1"/>
      <c r="J26" s="1"/>
      <c r="K26" s="1"/>
      <c r="L26" s="1"/>
    </row>
    <row r="27" customFormat="false" ht="15" hidden="false" customHeight="true" outlineLevel="0" collapsed="false">
      <c r="A27" s="1"/>
      <c r="B27" s="47" t="s">
        <v>51</v>
      </c>
      <c r="C27" s="47"/>
      <c r="D27" s="47"/>
      <c r="E27" s="47"/>
      <c r="F27" s="97"/>
      <c r="G27" s="1"/>
      <c r="H27" s="1"/>
      <c r="I27" s="1"/>
      <c r="J27" s="1"/>
      <c r="K27" s="1"/>
      <c r="L27" s="1"/>
    </row>
    <row r="28" customFormat="false" ht="15" hidden="false" customHeight="true" outlineLevel="0" collapsed="false">
      <c r="A28" s="1"/>
      <c r="B28" s="1" t="s">
        <v>54</v>
      </c>
      <c r="C28" s="47"/>
      <c r="D28" s="47"/>
      <c r="E28" s="47"/>
      <c r="F28" s="98" t="n">
        <f aca="false">SUM(F42:J42)</f>
        <v>5626.2185725</v>
      </c>
      <c r="G28" s="1"/>
      <c r="H28" s="1"/>
      <c r="I28" s="1"/>
      <c r="J28" s="1"/>
      <c r="K28" s="1"/>
      <c r="L28" s="1"/>
    </row>
    <row r="29" customFormat="false" ht="15" hidden="false" customHeight="true" outlineLevel="0" collapsed="false">
      <c r="A29" s="62"/>
      <c r="B29" s="1" t="s">
        <v>53</v>
      </c>
      <c r="C29" s="47"/>
      <c r="D29" s="47"/>
      <c r="E29" s="47"/>
      <c r="F29" s="46" t="n">
        <f aca="false">SUM(F46:J46)</f>
        <v>4077.88122</v>
      </c>
      <c r="G29" s="1"/>
      <c r="H29" s="1"/>
      <c r="I29" s="1"/>
      <c r="J29" s="1"/>
      <c r="K29" s="1"/>
      <c r="L29" s="1"/>
    </row>
    <row r="30" customFormat="false" ht="15" hidden="false" customHeight="true" outlineLevel="0" collapsed="false">
      <c r="A30" s="101" t="n">
        <v>200</v>
      </c>
      <c r="B30" s="1" t="s">
        <v>82</v>
      </c>
      <c r="C30" s="47"/>
      <c r="D30" s="47"/>
      <c r="E30" s="47"/>
      <c r="F30" s="46" t="n">
        <f aca="false">A30*5</f>
        <v>1000</v>
      </c>
      <c r="G30" s="1"/>
      <c r="H30" s="1"/>
      <c r="I30" s="1"/>
      <c r="J30" s="1"/>
      <c r="K30" s="1"/>
      <c r="L30" s="1"/>
    </row>
    <row r="31" customFormat="false" ht="15" hidden="false" customHeight="true" outlineLevel="0" collapsed="false">
      <c r="A31" s="101"/>
      <c r="B31" s="1" t="s">
        <v>83</v>
      </c>
      <c r="C31" s="47"/>
      <c r="D31" s="47"/>
      <c r="E31" s="47"/>
      <c r="F31" s="46" t="n">
        <f aca="false">SUM(F49:J49)</f>
        <v>714.711213975</v>
      </c>
      <c r="G31" s="1"/>
      <c r="H31" s="1"/>
      <c r="I31" s="1"/>
      <c r="J31" s="1"/>
      <c r="K31" s="1"/>
      <c r="L31" s="1"/>
    </row>
    <row r="32" customFormat="false" ht="15" hidden="false" customHeight="true" outlineLevel="0" collapsed="false">
      <c r="A32" s="62" t="n">
        <v>0.2</v>
      </c>
      <c r="B32" s="1" t="s">
        <v>84</v>
      </c>
      <c r="C32" s="47"/>
      <c r="D32" s="47"/>
      <c r="E32" s="47"/>
      <c r="F32" s="46" t="n">
        <f aca="false">(F28-F29)*A32</f>
        <v>309.6674705</v>
      </c>
      <c r="G32" s="1"/>
      <c r="H32" s="1"/>
      <c r="I32" s="1"/>
      <c r="J32" s="1"/>
      <c r="K32" s="1"/>
      <c r="L32" s="1"/>
    </row>
    <row r="33" customFormat="false" ht="15" hidden="false" customHeight="true" outlineLevel="0" collapsed="false">
      <c r="A33" s="101"/>
      <c r="B33" s="47" t="s">
        <v>58</v>
      </c>
      <c r="C33" s="47"/>
      <c r="D33" s="47"/>
      <c r="E33" s="47"/>
      <c r="F33" s="48" t="n">
        <f aca="false">F28-SUM(F30:F32)</f>
        <v>3601.839888025</v>
      </c>
      <c r="G33" s="1"/>
      <c r="H33" s="1"/>
      <c r="I33" s="1"/>
      <c r="J33" s="1"/>
      <c r="K33" s="1"/>
      <c r="L33" s="1"/>
    </row>
    <row r="34" customFormat="false" ht="1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02" t="s">
        <v>85</v>
      </c>
      <c r="L35" s="1"/>
    </row>
    <row r="36" customFormat="false" ht="16.5" hidden="false" customHeight="true" outlineLevel="0" collapsed="false">
      <c r="A36" s="1"/>
      <c r="B36" s="1"/>
      <c r="C36" s="4" t="s">
        <v>86</v>
      </c>
      <c r="D36" s="4" t="s">
        <v>87</v>
      </c>
      <c r="E36" s="2" t="s">
        <v>88</v>
      </c>
      <c r="F36" s="4" t="s">
        <v>89</v>
      </c>
      <c r="G36" s="4" t="s">
        <v>90</v>
      </c>
      <c r="H36" s="4" t="s">
        <v>91</v>
      </c>
      <c r="I36" s="4" t="s">
        <v>92</v>
      </c>
      <c r="J36" s="4" t="s">
        <v>93</v>
      </c>
      <c r="K36" s="103" t="s">
        <v>94</v>
      </c>
      <c r="L36" s="1"/>
    </row>
    <row r="37" customFormat="false" ht="16.5" hidden="false" customHeight="true" outlineLevel="0" collapsed="false">
      <c r="A37" s="1"/>
      <c r="B37" s="45" t="s">
        <v>24</v>
      </c>
      <c r="C37" s="4"/>
      <c r="D37" s="4"/>
      <c r="E37" s="2"/>
      <c r="F37" s="4"/>
      <c r="G37" s="4"/>
      <c r="H37" s="4"/>
      <c r="I37" s="4"/>
      <c r="J37" s="4"/>
      <c r="K37" s="103"/>
      <c r="L37" s="1"/>
    </row>
    <row r="38" customFormat="false" ht="15" hidden="false" customHeight="true" outlineLevel="0" collapsed="false">
      <c r="A38" s="1"/>
      <c r="B38" s="47" t="s">
        <v>98</v>
      </c>
      <c r="C38" s="108" t="n">
        <v>4054.1</v>
      </c>
      <c r="D38" s="108" t="n">
        <v>3932.8</v>
      </c>
      <c r="E38" s="109" t="n">
        <v>3694.28</v>
      </c>
      <c r="F38" s="108" t="n">
        <v>3810.36</v>
      </c>
      <c r="G38" s="108" t="n">
        <v>4007.98</v>
      </c>
      <c r="H38" s="108" t="n">
        <f aca="false">G38*(1+H39)</f>
        <v>4609.177</v>
      </c>
      <c r="I38" s="108" t="n">
        <f aca="false">H38*(1+I39)</f>
        <v>5300.55355</v>
      </c>
      <c r="J38" s="108" t="n">
        <f aca="false">I38*(1+J39)</f>
        <v>6095.6365825</v>
      </c>
      <c r="K38" s="110" t="n">
        <f aca="false">(J38/E38)^(1/5)-1</f>
        <v>0.105345001371874</v>
      </c>
      <c r="L38" s="1"/>
    </row>
    <row r="39" customFormat="false" ht="15" hidden="false" customHeight="true" outlineLevel="0" collapsed="false">
      <c r="A39" s="1"/>
      <c r="B39" s="1" t="s">
        <v>99</v>
      </c>
      <c r="C39" s="1"/>
      <c r="D39" s="57" t="n">
        <f aca="false">D38/C38-1</f>
        <v>-0.0299203275696208</v>
      </c>
      <c r="E39" s="111" t="n">
        <f aca="false">E38/D38-1</f>
        <v>-0.0606489015459724</v>
      </c>
      <c r="F39" s="57" t="n">
        <f aca="false">F38/E38-1</f>
        <v>0.0314215489892482</v>
      </c>
      <c r="G39" s="57" t="n">
        <f aca="false">G38/F38-1</f>
        <v>0.051863865881439</v>
      </c>
      <c r="H39" s="112" t="n">
        <v>0.15</v>
      </c>
      <c r="I39" s="112" t="n">
        <v>0.15</v>
      </c>
      <c r="J39" s="112" t="n">
        <v>0.15</v>
      </c>
      <c r="K39" s="113"/>
      <c r="L39" s="1"/>
    </row>
    <row r="40" customFormat="false" ht="16.5" hidden="false" customHeight="true" outlineLevel="0" collapsed="false">
      <c r="A40" s="1"/>
      <c r="B40" s="1"/>
      <c r="C40" s="44"/>
      <c r="D40" s="44"/>
      <c r="E40" s="114"/>
      <c r="F40" s="44"/>
      <c r="G40" s="44"/>
      <c r="H40" s="44"/>
      <c r="I40" s="44"/>
      <c r="J40" s="44"/>
      <c r="K40" s="113"/>
      <c r="L40" s="1"/>
    </row>
    <row r="41" customFormat="false" ht="16.5" hidden="false" customHeight="true" outlineLevel="0" collapsed="false">
      <c r="A41" s="1"/>
      <c r="B41" s="45" t="s">
        <v>71</v>
      </c>
      <c r="C41" s="44"/>
      <c r="D41" s="44"/>
      <c r="E41" s="114"/>
      <c r="F41" s="44"/>
      <c r="G41" s="44"/>
      <c r="H41" s="44"/>
      <c r="I41" s="44"/>
      <c r="J41" s="44"/>
      <c r="K41" s="113"/>
      <c r="L41" s="1"/>
    </row>
    <row r="42" customFormat="false" ht="15" hidden="false" customHeight="true" outlineLevel="0" collapsed="false">
      <c r="A42" s="1"/>
      <c r="B42" s="47" t="s">
        <v>98</v>
      </c>
      <c r="C42" s="116" t="n">
        <v>878.8</v>
      </c>
      <c r="D42" s="116" t="n">
        <v>764.4</v>
      </c>
      <c r="E42" s="117" t="n">
        <v>852.82</v>
      </c>
      <c r="F42" s="116" t="n">
        <v>891.8</v>
      </c>
      <c r="G42" s="116" t="n">
        <v>948.14</v>
      </c>
      <c r="H42" s="108" t="n">
        <f aca="false">G42*(1+H43)</f>
        <v>1090.361</v>
      </c>
      <c r="I42" s="108" t="n">
        <f aca="false">H42*(1+I43)</f>
        <v>1253.91515</v>
      </c>
      <c r="J42" s="108" t="n">
        <f aca="false">I42*(1+J43)</f>
        <v>1442.0024225</v>
      </c>
      <c r="K42" s="110" t="n">
        <f aca="false">(J42/E42)^(1/5)-1</f>
        <v>0.110763813003738</v>
      </c>
      <c r="L42" s="1"/>
    </row>
    <row r="43" customFormat="false" ht="15" hidden="false" customHeight="true" outlineLevel="0" collapsed="false">
      <c r="A43" s="1"/>
      <c r="B43" s="1" t="s">
        <v>99</v>
      </c>
      <c r="C43" s="1"/>
      <c r="D43" s="57" t="n">
        <f aca="false">D42/C42-1</f>
        <v>-0.130177514792899</v>
      </c>
      <c r="E43" s="111" t="n">
        <f aca="false">E42/D42-1</f>
        <v>0.11567242281528</v>
      </c>
      <c r="F43" s="57" t="n">
        <f aca="false">F42/E42-1</f>
        <v>0.0457071832274101</v>
      </c>
      <c r="G43" s="57" t="n">
        <f aca="false">G42/F42-1</f>
        <v>0.0631755999102939</v>
      </c>
      <c r="H43" s="112" t="n">
        <v>0.15</v>
      </c>
      <c r="I43" s="112" t="n">
        <v>0.15</v>
      </c>
      <c r="J43" s="112" t="n">
        <v>0.15</v>
      </c>
      <c r="K43" s="113"/>
      <c r="L43" s="1"/>
    </row>
    <row r="44" customFormat="false" ht="15" hidden="false" customHeight="true" outlineLevel="0" collapsed="false">
      <c r="A44" s="1"/>
      <c r="B44" s="1" t="s">
        <v>101</v>
      </c>
      <c r="C44" s="57" t="n">
        <f aca="false">C42/C38</f>
        <v>0.216768209960287</v>
      </c>
      <c r="D44" s="57" t="n">
        <f aca="false">D42/D38</f>
        <v>0.194365337672905</v>
      </c>
      <c r="E44" s="111" t="n">
        <f aca="false">E42/E38</f>
        <v>0.230848771614496</v>
      </c>
      <c r="F44" s="57" t="n">
        <f aca="false">F42/F38</f>
        <v>0.234046126875151</v>
      </c>
      <c r="G44" s="57" t="n">
        <f aca="false">G42/G38</f>
        <v>0.23656305670188</v>
      </c>
      <c r="H44" s="57" t="n">
        <f aca="false">H42/H38</f>
        <v>0.23656305670188</v>
      </c>
      <c r="I44" s="57" t="n">
        <f aca="false">I42/I38</f>
        <v>0.23656305670188</v>
      </c>
      <c r="J44" s="57" t="n">
        <f aca="false">J42/J38</f>
        <v>0.23656305670188</v>
      </c>
      <c r="K44" s="113"/>
      <c r="L44" s="1"/>
    </row>
    <row r="45" customFormat="false" ht="15" hidden="false" customHeight="true" outlineLevel="0" collapsed="false">
      <c r="A45" s="1"/>
      <c r="B45" s="1"/>
      <c r="C45" s="1"/>
      <c r="D45" s="1"/>
      <c r="E45" s="118"/>
      <c r="F45" s="1"/>
      <c r="G45" s="1"/>
      <c r="H45" s="1"/>
      <c r="I45" s="1"/>
      <c r="J45" s="1"/>
      <c r="K45" s="113"/>
      <c r="L45" s="1"/>
    </row>
    <row r="46" customFormat="false" ht="15" hidden="false" customHeight="true" outlineLevel="0" collapsed="false">
      <c r="A46" s="1"/>
      <c r="B46" s="1" t="s">
        <v>72</v>
      </c>
      <c r="C46" s="104" t="n">
        <v>300.8</v>
      </c>
      <c r="D46" s="104" t="n">
        <v>307.7</v>
      </c>
      <c r="E46" s="105" t="n">
        <v>600</v>
      </c>
      <c r="F46" s="104" t="n">
        <f aca="false">E46*1.12</f>
        <v>672</v>
      </c>
      <c r="G46" s="104" t="n">
        <f aca="false">F46*1.015</f>
        <v>682.08</v>
      </c>
      <c r="H46" s="106" t="n">
        <f aca="false">H47*H38</f>
        <v>784.392</v>
      </c>
      <c r="I46" s="106" t="n">
        <f aca="false">I47*I38</f>
        <v>902.0508</v>
      </c>
      <c r="J46" s="106" t="n">
        <f aca="false">J47*J38</f>
        <v>1037.35842</v>
      </c>
      <c r="K46" s="107" t="n">
        <f aca="false">(J46/E46)^(1/5)-1</f>
        <v>0.115720768243949</v>
      </c>
      <c r="L46" s="1"/>
    </row>
    <row r="47" customFormat="false" ht="15" hidden="false" customHeight="true" outlineLevel="0" collapsed="false">
      <c r="A47" s="1"/>
      <c r="B47" s="1" t="s">
        <v>102</v>
      </c>
      <c r="C47" s="57" t="n">
        <f aca="false">C46/C38</f>
        <v>0.0741964924397524</v>
      </c>
      <c r="D47" s="57" t="n">
        <f aca="false">D46/D38</f>
        <v>0.0782394222945484</v>
      </c>
      <c r="E47" s="111" t="n">
        <f aca="false">E46/E38</f>
        <v>0.162413244258692</v>
      </c>
      <c r="F47" s="57" t="n">
        <f aca="false">F46/F38</f>
        <v>0.176361288697131</v>
      </c>
      <c r="G47" s="57" t="n">
        <f aca="false">G46/G38</f>
        <v>0.170180489922604</v>
      </c>
      <c r="H47" s="57" t="n">
        <f aca="false">G47</f>
        <v>0.170180489922604</v>
      </c>
      <c r="I47" s="57" t="n">
        <f aca="false">H47</f>
        <v>0.170180489922604</v>
      </c>
      <c r="J47" s="57" t="n">
        <f aca="false">I47</f>
        <v>0.170180489922604</v>
      </c>
      <c r="K47" s="113"/>
      <c r="L47" s="1"/>
    </row>
    <row r="48" customFormat="false" ht="15" hidden="false" customHeight="true" outlineLevel="0" collapsed="false">
      <c r="A48" s="1"/>
      <c r="B48" s="1"/>
      <c r="C48" s="1"/>
      <c r="D48" s="1"/>
      <c r="E48" s="118"/>
      <c r="F48" s="1"/>
      <c r="G48" s="1"/>
      <c r="H48" s="1"/>
      <c r="I48" s="1"/>
      <c r="J48" s="1"/>
      <c r="K48" s="113"/>
      <c r="L48" s="1"/>
    </row>
    <row r="49" customFormat="false" ht="15" hidden="false" customHeight="true" outlineLevel="0" collapsed="false">
      <c r="A49" s="1"/>
      <c r="B49" s="1" t="s">
        <v>103</v>
      </c>
      <c r="C49" s="104" t="n">
        <v>184.6</v>
      </c>
      <c r="D49" s="104" t="n">
        <v>158.6</v>
      </c>
      <c r="E49" s="105" t="n">
        <f aca="false">D49*1+E50</f>
        <v>158.642</v>
      </c>
      <c r="F49" s="106" t="n">
        <f aca="false">F50*F38</f>
        <v>114.3108</v>
      </c>
      <c r="G49" s="106" t="n">
        <f aca="false">G50*G38</f>
        <v>120.2394</v>
      </c>
      <c r="H49" s="106" t="n">
        <f aca="false">H50*H38</f>
        <v>138.27531</v>
      </c>
      <c r="I49" s="106" t="n">
        <f aca="false">I50*I38</f>
        <v>159.0166065</v>
      </c>
      <c r="J49" s="106" t="n">
        <f aca="false">J50*J38</f>
        <v>182.869097475</v>
      </c>
      <c r="K49" s="107" t="n">
        <f aca="false">(J49/E49)^(1/5)-1</f>
        <v>0.0288319177267877</v>
      </c>
      <c r="L49" s="1"/>
    </row>
    <row r="50" customFormat="false" ht="15" hidden="false" customHeight="true" outlineLevel="0" collapsed="false">
      <c r="A50" s="1"/>
      <c r="B50" s="1" t="s">
        <v>102</v>
      </c>
      <c r="C50" s="57" t="n">
        <f aca="false">C49/C38</f>
        <v>0.0455341506129597</v>
      </c>
      <c r="D50" s="57" t="n">
        <f aca="false">D49/D38</f>
        <v>0.0403275020341741</v>
      </c>
      <c r="E50" s="111" t="n">
        <f aca="false">0.042</f>
        <v>0.042</v>
      </c>
      <c r="F50" s="112" t="n">
        <v>0.03</v>
      </c>
      <c r="G50" s="112" t="n">
        <v>0.03</v>
      </c>
      <c r="H50" s="112" t="n">
        <v>0.03</v>
      </c>
      <c r="I50" s="112" t="n">
        <v>0.03</v>
      </c>
      <c r="J50" s="112" t="n">
        <v>0.03</v>
      </c>
      <c r="K50" s="113"/>
      <c r="L50" s="1"/>
    </row>
    <row r="51" customFormat="false" ht="15" hidden="false" customHeight="true" outlineLevel="0" collapsed="false">
      <c r="A51" s="1"/>
      <c r="B51" s="1"/>
      <c r="C51" s="1"/>
      <c r="D51" s="1"/>
      <c r="E51" s="118"/>
      <c r="F51" s="1"/>
      <c r="G51" s="1"/>
      <c r="H51" s="1"/>
      <c r="I51" s="1"/>
      <c r="J51" s="118"/>
      <c r="K51" s="1"/>
      <c r="L51" s="1"/>
    </row>
    <row r="52" customFormat="false" ht="1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mergeCells count="2">
    <mergeCell ref="B2:F2"/>
    <mergeCell ref="B12:F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7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12" min="3" style="0" width="14"/>
  </cols>
  <sheetData>
    <row r="1" customFormat="false" ht="15" hidden="false" customHeight="true" outlineLevel="0" collapsed="false">
      <c r="B1" s="209" t="s">
        <v>186</v>
      </c>
      <c r="C1" s="209" t="s">
        <v>20</v>
      </c>
      <c r="D1" s="209" t="s">
        <v>21</v>
      </c>
      <c r="E1" s="209" t="s">
        <v>22</v>
      </c>
      <c r="F1" s="209" t="s">
        <v>23</v>
      </c>
      <c r="G1" s="209" t="s">
        <v>66</v>
      </c>
      <c r="H1" s="209" t="s">
        <v>67</v>
      </c>
      <c r="I1" s="209" t="s">
        <v>68</v>
      </c>
      <c r="J1" s="209" t="s">
        <v>69</v>
      </c>
      <c r="K1" s="209" t="s">
        <v>70</v>
      </c>
      <c r="L1" s="209" t="s">
        <v>187</v>
      </c>
    </row>
    <row r="2" customFormat="false" ht="15" hidden="false" customHeight="true" outlineLevel="0" collapsed="false">
      <c r="B2" s="209" t="s">
        <v>24</v>
      </c>
    </row>
    <row r="3" customFormat="false" ht="15" hidden="false" customHeight="true" outlineLevel="0" collapsed="false">
      <c r="B3" s="210" t="s">
        <v>188</v>
      </c>
      <c r="C3" s="211" t="n">
        <v>580</v>
      </c>
      <c r="D3" s="211" t="n">
        <v>758</v>
      </c>
      <c r="E3" s="211" t="n">
        <v>1119</v>
      </c>
      <c r="F3" s="211" t="n">
        <v>1834</v>
      </c>
      <c r="G3" s="212" t="n">
        <v>2580</v>
      </c>
      <c r="H3" s="212" t="n">
        <v>3354</v>
      </c>
      <c r="I3" s="212" t="n">
        <v>4191</v>
      </c>
      <c r="J3" s="212" t="n">
        <v>5113</v>
      </c>
      <c r="K3" s="212" t="n">
        <v>6084</v>
      </c>
    </row>
    <row r="4" customFormat="false" ht="15" hidden="false" customHeight="true" outlineLevel="0" collapsed="false">
      <c r="B4" s="210" t="s">
        <v>189</v>
      </c>
      <c r="C4" s="211" t="n">
        <v>0</v>
      </c>
      <c r="D4" s="211" t="n">
        <v>0</v>
      </c>
      <c r="E4" s="211" t="n">
        <v>138</v>
      </c>
      <c r="F4" s="211" t="n">
        <v>313</v>
      </c>
      <c r="G4" s="212" t="n">
        <v>470</v>
      </c>
      <c r="H4" s="212" t="n">
        <v>610</v>
      </c>
      <c r="I4" s="212" t="n">
        <v>815</v>
      </c>
      <c r="J4" s="212" t="n">
        <v>1050</v>
      </c>
      <c r="K4" s="212" t="n">
        <v>1310</v>
      </c>
    </row>
    <row r="5" customFormat="false" ht="15" hidden="false" customHeight="true" outlineLevel="0" collapsed="false">
      <c r="B5" s="210" t="s">
        <v>190</v>
      </c>
      <c r="C5" s="211" t="n">
        <v>87</v>
      </c>
      <c r="D5" s="211" t="n">
        <v>46</v>
      </c>
      <c r="E5" s="211" t="n">
        <v>43</v>
      </c>
      <c r="F5" s="211" t="n">
        <v>56</v>
      </c>
      <c r="G5" s="212" t="n">
        <v>92</v>
      </c>
      <c r="H5" s="212" t="n">
        <v>128</v>
      </c>
      <c r="I5" s="212" t="n">
        <v>165</v>
      </c>
      <c r="J5" s="212" t="n">
        <v>197</v>
      </c>
      <c r="K5" s="212" t="n">
        <v>238</v>
      </c>
    </row>
    <row r="6" customFormat="false" ht="15" hidden="false" customHeight="true" outlineLevel="0" collapsed="false">
      <c r="B6" s="209" t="s">
        <v>31</v>
      </c>
      <c r="C6" s="211" t="n">
        <f aca="false">SUM(C3:C5)</f>
        <v>667</v>
      </c>
      <c r="D6" s="211" t="n">
        <f aca="false">SUM(D3:D5)</f>
        <v>804</v>
      </c>
      <c r="E6" s="211" t="n">
        <f aca="false">SUM(E3:E5)</f>
        <v>1300</v>
      </c>
      <c r="F6" s="211" t="n">
        <f aca="false">SUM(F3:F5)</f>
        <v>2203</v>
      </c>
      <c r="G6" s="211" t="n">
        <f aca="false">SUM(G3:G5)</f>
        <v>3142</v>
      </c>
      <c r="H6" s="211" t="n">
        <f aca="false">SUM(H3:H5)</f>
        <v>4092</v>
      </c>
      <c r="I6" s="211" t="n">
        <f aca="false">SUM(I3:I5)</f>
        <v>5171</v>
      </c>
      <c r="J6" s="211" t="n">
        <f aca="false">SUM(J3:J5)</f>
        <v>6360</v>
      </c>
      <c r="K6" s="211" t="n">
        <f aca="false">SUM(K3:K5)</f>
        <v>7632</v>
      </c>
      <c r="L6" s="213" t="n">
        <f aca="false">(K6/G6)^(1/4)-1</f>
        <v>0.248412318227876</v>
      </c>
    </row>
    <row r="8" customFormat="false" ht="15" hidden="false" customHeight="true" outlineLevel="0" collapsed="false">
      <c r="B8" s="209" t="s">
        <v>73</v>
      </c>
    </row>
    <row r="9" customFormat="false" ht="15" hidden="false" customHeight="true" outlineLevel="0" collapsed="false">
      <c r="B9" s="210" t="s">
        <v>188</v>
      </c>
      <c r="D9" s="213" t="n">
        <f aca="false">IFERROR(D3/C3-1,"-")</f>
        <v>0.306896551724138</v>
      </c>
      <c r="E9" s="213" t="n">
        <f aca="false">IFERROR(E3/D3-1,"-")</f>
        <v>0.476253298153034</v>
      </c>
      <c r="F9" s="213" t="n">
        <f aca="false">IFERROR(F3/E3-1,"-")</f>
        <v>0.638963360142985</v>
      </c>
      <c r="G9" s="213" t="n">
        <f aca="false">IFERROR(G3/F3-1,"-")</f>
        <v>0.406761177753544</v>
      </c>
      <c r="H9" s="213" t="n">
        <f aca="false">IFERROR(H3/G3-1,"-")</f>
        <v>0.3</v>
      </c>
      <c r="I9" s="213" t="n">
        <f aca="false">IFERROR(I3/H3-1,"-")</f>
        <v>0.249552772808587</v>
      </c>
      <c r="J9" s="213" t="n">
        <f aca="false">IFERROR(J3/I3-1,"-")</f>
        <v>0.219995227869244</v>
      </c>
      <c r="K9" s="213" t="n">
        <f aca="false">IFERROR(K3/J3-1,"-")</f>
        <v>0.189908077449638</v>
      </c>
    </row>
    <row r="10" customFormat="false" ht="15" hidden="false" customHeight="true" outlineLevel="0" collapsed="false">
      <c r="B10" s="210" t="s">
        <v>189</v>
      </c>
      <c r="D10" s="213" t="str">
        <f aca="false">IFERROR(D4/C4-1,"-")</f>
        <v>-</v>
      </c>
      <c r="E10" s="213" t="str">
        <f aca="false">IFERROR(E4/D4-1,"-")</f>
        <v>-</v>
      </c>
      <c r="F10" s="213" t="n">
        <f aca="false">IFERROR(F4/E4-1,"-")</f>
        <v>1.26811594202899</v>
      </c>
      <c r="G10" s="213" t="n">
        <f aca="false">IFERROR(G4/F4-1,"-")</f>
        <v>0.501597444089457</v>
      </c>
      <c r="H10" s="213" t="n">
        <f aca="false">IFERROR(H4/G4-1,"-")</f>
        <v>0.297872340425532</v>
      </c>
      <c r="I10" s="213" t="n">
        <f aca="false">IFERROR(I4/H4-1,"-")</f>
        <v>0.336065573770492</v>
      </c>
      <c r="J10" s="213" t="n">
        <f aca="false">IFERROR(J4/I4-1,"-")</f>
        <v>0.288343558282209</v>
      </c>
      <c r="K10" s="213" t="n">
        <f aca="false">IFERROR(K4/J4-1,"-")</f>
        <v>0.247619047619048</v>
      </c>
    </row>
    <row r="11" customFormat="false" ht="15" hidden="false" customHeight="true" outlineLevel="0" collapsed="false">
      <c r="B11" s="210" t="s">
        <v>190</v>
      </c>
      <c r="D11" s="213" t="n">
        <f aca="false">IFERROR(D5/C5-1,"-")</f>
        <v>-0.471264367816092</v>
      </c>
      <c r="E11" s="213" t="n">
        <f aca="false">IFERROR(E5/D5-1,"-")</f>
        <v>-0.0652173913043478</v>
      </c>
      <c r="F11" s="213" t="n">
        <f aca="false">IFERROR(F5/E5-1,"-")</f>
        <v>0.302325581395349</v>
      </c>
      <c r="G11" s="213" t="n">
        <f aca="false">IFERROR(G5/F5-1,"-")</f>
        <v>0.642857142857143</v>
      </c>
      <c r="H11" s="213" t="n">
        <f aca="false">IFERROR(H5/G5-1,"-")</f>
        <v>0.391304347826087</v>
      </c>
      <c r="I11" s="213" t="n">
        <f aca="false">IFERROR(I5/H5-1,"-")</f>
        <v>0.2890625</v>
      </c>
      <c r="J11" s="213" t="n">
        <f aca="false">IFERROR(J5/I5-1,"-")</f>
        <v>0.193939393939394</v>
      </c>
      <c r="K11" s="213" t="n">
        <f aca="false">IFERROR(K5/J5-1,"-")</f>
        <v>0.208121827411168</v>
      </c>
    </row>
    <row r="12" customFormat="false" ht="15" hidden="false" customHeight="true" outlineLevel="0" collapsed="false">
      <c r="B12" s="210" t="s">
        <v>31</v>
      </c>
      <c r="D12" s="213" t="n">
        <f aca="false">IFERROR(D6/C6-1,"-")</f>
        <v>0.205397301349325</v>
      </c>
      <c r="E12" s="213" t="n">
        <f aca="false">IFERROR(E6/D6-1,"-")</f>
        <v>0.616915422885572</v>
      </c>
      <c r="F12" s="213" t="n">
        <f aca="false">IFERROR(F6/E6-1,"-")</f>
        <v>0.694615384615385</v>
      </c>
      <c r="G12" s="213" t="n">
        <f aca="false">IFERROR(G6/F6-1,"-")</f>
        <v>0.426236949614163</v>
      </c>
      <c r="H12" s="213" t="n">
        <f aca="false">IFERROR(H6/G6-1,"-")</f>
        <v>0.302355187778485</v>
      </c>
      <c r="I12" s="213" t="n">
        <f aca="false">IFERROR(I6/H6-1,"-")</f>
        <v>0.263685239491691</v>
      </c>
      <c r="J12" s="213" t="n">
        <f aca="false">IFERROR(J6/I6-1,"-")</f>
        <v>0.229936182556566</v>
      </c>
      <c r="K12" s="213" t="n">
        <f aca="false">IFERROR(K6/J6-1,"-")</f>
        <v>0.2</v>
      </c>
    </row>
    <row r="14" customFormat="false" ht="15" hidden="false" customHeight="true" outlineLevel="0" collapsed="false">
      <c r="B14" s="209" t="s">
        <v>191</v>
      </c>
    </row>
    <row r="15" customFormat="false" ht="15" hidden="false" customHeight="true" outlineLevel="0" collapsed="false">
      <c r="B15" s="210" t="s">
        <v>188</v>
      </c>
      <c r="C15" s="213" t="n">
        <f aca="false">IFERROR(C3/C6,"-")</f>
        <v>0.869565217391304</v>
      </c>
      <c r="D15" s="213" t="n">
        <f aca="false">IFERROR(D3/D6,"-")</f>
        <v>0.942786069651741</v>
      </c>
      <c r="E15" s="213" t="n">
        <f aca="false">IFERROR(E3/E6,"-")</f>
        <v>0.860769230769231</v>
      </c>
      <c r="F15" s="213" t="n">
        <f aca="false">IFERROR(F3/F6,"-")</f>
        <v>0.83250113481616</v>
      </c>
      <c r="G15" s="213" t="n">
        <f aca="false">IFERROR(G3/G6,"-")</f>
        <v>0.821133036282623</v>
      </c>
      <c r="H15" s="213" t="n">
        <f aca="false">IFERROR(H3/H6,"-")</f>
        <v>0.819648093841642</v>
      </c>
      <c r="I15" s="213" t="n">
        <f aca="false">IFERROR(I3/I6,"-")</f>
        <v>0.810481531618642</v>
      </c>
      <c r="J15" s="213" t="n">
        <f aca="false">IFERROR(J3/J6,"-")</f>
        <v>0.803930817610063</v>
      </c>
      <c r="K15" s="213" t="n">
        <f aca="false">IFERROR(K3/K6,"-")</f>
        <v>0.797169811320755</v>
      </c>
    </row>
    <row r="16" customFormat="false" ht="15" hidden="false" customHeight="true" outlineLevel="0" collapsed="false">
      <c r="B16" s="210" t="s">
        <v>189</v>
      </c>
      <c r="C16" s="213" t="n">
        <f aca="false">IFERROR(C4/C6,"-")</f>
        <v>0</v>
      </c>
      <c r="D16" s="213" t="n">
        <f aca="false">IFERROR(D4/D6,"-")</f>
        <v>0</v>
      </c>
      <c r="E16" s="213" t="n">
        <f aca="false">IFERROR(E4/E6,"-")</f>
        <v>0.106153846153846</v>
      </c>
      <c r="F16" s="213" t="n">
        <f aca="false">IFERROR(F4/F6,"-")</f>
        <v>0.142078983204721</v>
      </c>
      <c r="G16" s="213" t="n">
        <f aca="false">IFERROR(G4/G6,"-")</f>
        <v>0.149586250795672</v>
      </c>
      <c r="H16" s="213" t="n">
        <f aca="false">IFERROR(H4/H6,"-")</f>
        <v>0.149071358748778</v>
      </c>
      <c r="I16" s="213" t="n">
        <f aca="false">IFERROR(I4/I6,"-")</f>
        <v>0.157609746664088</v>
      </c>
      <c r="J16" s="213" t="n">
        <f aca="false">IFERROR(J4/J6,"-")</f>
        <v>0.165094339622642</v>
      </c>
      <c r="K16" s="213" t="n">
        <f aca="false">IFERROR(K4/K6,"-")</f>
        <v>0.17164570230608</v>
      </c>
    </row>
    <row r="17" customFormat="false" ht="15" hidden="false" customHeight="true" outlineLevel="0" collapsed="false">
      <c r="B17" s="210" t="s">
        <v>190</v>
      </c>
      <c r="C17" s="213" t="n">
        <f aca="false">IFERROR(C5/C6,"-")</f>
        <v>0.130434782608696</v>
      </c>
      <c r="D17" s="213" t="n">
        <f aca="false">IFERROR(D5/D6,"-")</f>
        <v>0.0572139303482587</v>
      </c>
      <c r="E17" s="213" t="n">
        <f aca="false">IFERROR(E5/E6,"-")</f>
        <v>0.0330769230769231</v>
      </c>
      <c r="F17" s="213" t="n">
        <f aca="false">IFERROR(F5/F6,"-")</f>
        <v>0.0254198819791194</v>
      </c>
      <c r="G17" s="213" t="n">
        <f aca="false">IFERROR(G5/G6,"-")</f>
        <v>0.0292807129217059</v>
      </c>
      <c r="H17" s="213" t="n">
        <f aca="false">IFERROR(H5/H6,"-")</f>
        <v>0.0312805474095797</v>
      </c>
      <c r="I17" s="213" t="n">
        <f aca="false">IFERROR(I5/I6,"-")</f>
        <v>0.0319087217172694</v>
      </c>
      <c r="J17" s="213" t="n">
        <f aca="false">IFERROR(J5/J6,"-")</f>
        <v>0.0309748427672956</v>
      </c>
      <c r="K17" s="213" t="n">
        <f aca="false">IFERROR(K5/K6,"-")</f>
        <v>0.0311844863731656</v>
      </c>
    </row>
    <row r="18" customFormat="false" ht="15" hidden="false" customHeight="true" outlineLevel="0" collapsed="false">
      <c r="B18" s="210" t="s">
        <v>98</v>
      </c>
      <c r="C18" s="213" t="n">
        <f aca="false">IFERROR(C6/C6,"-")</f>
        <v>1</v>
      </c>
      <c r="D18" s="213" t="n">
        <f aca="false">IFERROR(D6/D6,"-")</f>
        <v>1</v>
      </c>
      <c r="E18" s="213" t="n">
        <f aca="false">IFERROR(E6/E6,"-")</f>
        <v>1</v>
      </c>
      <c r="F18" s="213" t="n">
        <f aca="false">IFERROR(F6/F6,"-")</f>
        <v>1</v>
      </c>
      <c r="G18" s="213" t="n">
        <f aca="false">IFERROR(G6/G6,"-")</f>
        <v>1</v>
      </c>
      <c r="H18" s="213" t="n">
        <f aca="false">IFERROR(H6/H6,"-")</f>
        <v>1</v>
      </c>
      <c r="I18" s="213" t="n">
        <f aca="false">IFERROR(I6/I6,"-")</f>
        <v>1</v>
      </c>
      <c r="J18" s="213" t="n">
        <f aca="false">IFERROR(J6/J6,"-")</f>
        <v>1</v>
      </c>
      <c r="K18" s="213" t="n">
        <f aca="false">IFERROR(K6/K6,"-")</f>
        <v>1</v>
      </c>
    </row>
    <row r="20" customFormat="false" ht="15" hidden="false" customHeight="true" outlineLevel="0" collapsed="false">
      <c r="B20" s="209" t="s">
        <v>192</v>
      </c>
    </row>
    <row r="21" customFormat="false" ht="15" hidden="false" customHeight="true" outlineLevel="0" collapsed="false">
      <c r="B21" s="210" t="s">
        <v>193</v>
      </c>
      <c r="D21" s="211" t="n">
        <v>52</v>
      </c>
      <c r="E21" s="211" t="n">
        <v>82</v>
      </c>
      <c r="F21" s="211" t="n">
        <v>101</v>
      </c>
      <c r="G21" s="212" t="n">
        <v>118</v>
      </c>
      <c r="H21" s="212" t="n">
        <v>135</v>
      </c>
      <c r="I21" s="212" t="n">
        <v>152</v>
      </c>
      <c r="J21" s="212" t="n">
        <v>168</v>
      </c>
      <c r="K21" s="212" t="n">
        <v>182</v>
      </c>
    </row>
    <row r="22" customFormat="false" ht="15" hidden="false" customHeight="true" outlineLevel="0" collapsed="false">
      <c r="B22" s="210" t="s">
        <v>194</v>
      </c>
      <c r="E22" s="213" t="n">
        <f aca="false">IFERROR(E21/D21-1,"-")</f>
        <v>0.576923076923077</v>
      </c>
      <c r="F22" s="213" t="n">
        <f aca="false">IFERROR(F21/E21-1,"-")</f>
        <v>0.231707317073171</v>
      </c>
      <c r="G22" s="213" t="n">
        <f aca="false">IFERROR(G21/F21-1,"-")</f>
        <v>0.168316831683168</v>
      </c>
      <c r="H22" s="213" t="n">
        <f aca="false">IFERROR(H21/G21-1,"-")</f>
        <v>0.14406779661017</v>
      </c>
      <c r="I22" s="213" t="n">
        <f aca="false">IFERROR(I21/H21-1,"-")</f>
        <v>0.125925925925926</v>
      </c>
      <c r="J22" s="213" t="n">
        <f aca="false">IFERROR(J21/I21-1,"-")</f>
        <v>0.105263157894737</v>
      </c>
      <c r="K22" s="213" t="n">
        <f aca="false">IFERROR(K21/J21-1,"-")</f>
        <v>0.0833333333333333</v>
      </c>
    </row>
    <row r="23" customFormat="false" ht="15" hidden="false" customHeight="true" outlineLevel="0" collapsed="false">
      <c r="B23" s="210" t="s">
        <v>195</v>
      </c>
      <c r="D23" s="214" t="n">
        <f aca="false">IFERROR(D6/D21,"-")</f>
        <v>15.4615384615385</v>
      </c>
      <c r="E23" s="214" t="n">
        <f aca="false">IFERROR(E6/E21,"-")</f>
        <v>15.8536585365854</v>
      </c>
      <c r="F23" s="214" t="n">
        <f aca="false">IFERROR(F6/F21,"-")</f>
        <v>21.8118811881188</v>
      </c>
      <c r="G23" s="214" t="n">
        <f aca="false">IFERROR(G6/G21,"-")</f>
        <v>26.6271186440678</v>
      </c>
      <c r="H23" s="214" t="n">
        <f aca="false">IFERROR(H6/H21,"-")</f>
        <v>30.3111111111111</v>
      </c>
      <c r="I23" s="214" t="n">
        <f aca="false">IFERROR(I6/I21,"-")</f>
        <v>34.0197368421053</v>
      </c>
      <c r="J23" s="214" t="n">
        <f aca="false">IFERROR(J6/J21,"-")</f>
        <v>37.8571428571429</v>
      </c>
      <c r="K23" s="214" t="n">
        <f aca="false">IFERROR(K6/K21,"-")</f>
        <v>41.9340659340659</v>
      </c>
    </row>
    <row r="24" customFormat="false" ht="15" hidden="false" customHeight="true" outlineLevel="0" collapsed="false">
      <c r="B24" s="210" t="s">
        <v>196</v>
      </c>
      <c r="E24" s="213" t="n">
        <f aca="false">IFERROR(E23/D23-1,"-")</f>
        <v>0.0253609998786555</v>
      </c>
      <c r="F24" s="213" t="n">
        <f aca="false">IFERROR(F23/E23-1,"-")</f>
        <v>0.375826351865956</v>
      </c>
      <c r="G24" s="213" t="n">
        <f aca="false">IFERROR(G23/F23-1,"-")</f>
        <v>0.220762134839241</v>
      </c>
      <c r="H24" s="213" t="n">
        <f aca="false">IFERROR(H23/G23-1,"-")</f>
        <v>0.138354904873046</v>
      </c>
      <c r="I24" s="213" t="n">
        <f aca="false">IFERROR(I23/H23-1,"-")</f>
        <v>0.122352021916962</v>
      </c>
      <c r="J24" s="213" t="n">
        <f aca="false">IFERROR(J23/I23-1,"-")</f>
        <v>0.112799403265464</v>
      </c>
      <c r="K24" s="213" t="n">
        <f aca="false">IFERROR(K23/J23-1,"-")</f>
        <v>0.107692307692308</v>
      </c>
    </row>
    <row r="26" customFormat="false" ht="15" hidden="false" customHeight="true" outlineLevel="0" collapsed="false">
      <c r="B26" s="209" t="s">
        <v>197</v>
      </c>
    </row>
    <row r="27" customFormat="false" ht="15" hidden="false" customHeight="true" outlineLevel="0" collapsed="false">
      <c r="B27" s="210" t="s">
        <v>198</v>
      </c>
      <c r="C27" s="211" t="n">
        <v>119</v>
      </c>
      <c r="D27" s="211" t="n">
        <v>131</v>
      </c>
      <c r="E27" s="211" t="n">
        <v>153</v>
      </c>
      <c r="F27" s="211" t="n">
        <v>194</v>
      </c>
      <c r="G27" s="212" t="n">
        <v>275</v>
      </c>
      <c r="H27" s="212" t="n">
        <v>350</v>
      </c>
      <c r="I27" s="212" t="n">
        <v>430</v>
      </c>
      <c r="J27" s="212" t="n">
        <v>510</v>
      </c>
      <c r="K27" s="212" t="n">
        <v>595</v>
      </c>
    </row>
    <row r="28" customFormat="false" ht="15" hidden="false" customHeight="true" outlineLevel="0" collapsed="false">
      <c r="B28" s="209" t="s">
        <v>199</v>
      </c>
      <c r="C28" s="215" t="n">
        <f aca="false">C6-C27</f>
        <v>548</v>
      </c>
      <c r="D28" s="215" t="n">
        <f aca="false">D6-D27</f>
        <v>673</v>
      </c>
      <c r="E28" s="215" t="n">
        <f aca="false">E6-E27</f>
        <v>1147</v>
      </c>
      <c r="F28" s="215" t="n">
        <f aca="false">F6-F27</f>
        <v>2009</v>
      </c>
      <c r="G28" s="215" t="n">
        <f aca="false">G6-G27</f>
        <v>2867</v>
      </c>
      <c r="H28" s="215" t="n">
        <f aca="false">H6-H27</f>
        <v>3742</v>
      </c>
      <c r="I28" s="215" t="n">
        <f aca="false">I6-I27</f>
        <v>4741</v>
      </c>
      <c r="J28" s="215" t="n">
        <f aca="false">J6-J27</f>
        <v>5850</v>
      </c>
      <c r="K28" s="215" t="n">
        <f aca="false">K6-K27</f>
        <v>7037</v>
      </c>
    </row>
    <row r="29" customFormat="false" ht="15" hidden="false" customHeight="true" outlineLevel="0" collapsed="false">
      <c r="B29" s="210" t="s">
        <v>200</v>
      </c>
      <c r="C29" s="213" t="n">
        <f aca="false">IFERROR(C28/C6,"-")</f>
        <v>0.821589205397301</v>
      </c>
      <c r="D29" s="213" t="n">
        <f aca="false">IFERROR(D28/D6,"-")</f>
        <v>0.837064676616915</v>
      </c>
      <c r="E29" s="213" t="n">
        <f aca="false">IFERROR(E28/E6,"-")</f>
        <v>0.882307692307692</v>
      </c>
      <c r="F29" s="213" t="n">
        <f aca="false">IFERROR(F28/F6,"-")</f>
        <v>0.911938266000908</v>
      </c>
      <c r="G29" s="213" t="n">
        <f aca="false">IFERROR(G28/G6,"-")</f>
        <v>0.912476129853596</v>
      </c>
      <c r="H29" s="213" t="n">
        <f aca="false">IFERROR(H28/H6,"-")</f>
        <v>0.914467253176931</v>
      </c>
      <c r="I29" s="213" t="n">
        <f aca="false">IFERROR(I28/I6,"-")</f>
        <v>0.916843937342874</v>
      </c>
      <c r="J29" s="213" t="n">
        <f aca="false">IFERROR(J28/J6,"-")</f>
        <v>0.919811320754717</v>
      </c>
      <c r="K29" s="213" t="n">
        <f aca="false">IFERROR(K28/K6,"-")</f>
        <v>0.922038784067086</v>
      </c>
    </row>
    <row r="31" customFormat="false" ht="15" hidden="false" customHeight="true" outlineLevel="0" collapsed="false">
      <c r="B31" s="209" t="s">
        <v>201</v>
      </c>
    </row>
    <row r="32" customFormat="false" ht="15" hidden="false" customHeight="true" outlineLevel="0" collapsed="false">
      <c r="B32" s="210" t="s">
        <v>202</v>
      </c>
      <c r="C32" s="211" t="n">
        <v>477</v>
      </c>
      <c r="D32" s="211" t="n">
        <v>468</v>
      </c>
      <c r="E32" s="211" t="n">
        <v>1155</v>
      </c>
      <c r="F32" s="211" t="n">
        <v>981</v>
      </c>
      <c r="G32" s="212" t="n">
        <v>1080</v>
      </c>
      <c r="H32" s="212" t="n">
        <v>1230</v>
      </c>
      <c r="I32" s="212" t="n">
        <v>1400</v>
      </c>
      <c r="J32" s="212" t="n">
        <v>1570</v>
      </c>
      <c r="K32" s="212" t="n">
        <v>1720</v>
      </c>
    </row>
    <row r="33" customFormat="false" ht="15" hidden="false" customHeight="true" outlineLevel="0" collapsed="false">
      <c r="B33" s="210" t="s">
        <v>203</v>
      </c>
      <c r="C33" s="213" t="n">
        <f aca="false">IFERROR(C32/C6,"-")</f>
        <v>0.715142428785607</v>
      </c>
      <c r="D33" s="213" t="n">
        <f aca="false">IFERROR(D32/D6,"-")</f>
        <v>0.582089552238806</v>
      </c>
      <c r="E33" s="213" t="n">
        <f aca="false">IFERROR(E32/E6,"-")</f>
        <v>0.888461538461538</v>
      </c>
      <c r="F33" s="213" t="n">
        <f aca="false">IFERROR(F32/F6,"-")</f>
        <v>0.445301861098502</v>
      </c>
      <c r="G33" s="213" t="n">
        <f aca="false">IFERROR(G32/G6,"-")</f>
        <v>0.34373010821133</v>
      </c>
      <c r="H33" s="213" t="n">
        <f aca="false">IFERROR(H32/H6,"-")</f>
        <v>0.30058651026393</v>
      </c>
      <c r="I33" s="213" t="n">
        <f aca="false">IFERROR(I32/I6,"-")</f>
        <v>0.270740669116225</v>
      </c>
      <c r="J33" s="213" t="n">
        <f aca="false">IFERROR(J32/J6,"-")</f>
        <v>0.24685534591195</v>
      </c>
      <c r="K33" s="213" t="n">
        <f aca="false">IFERROR(K32/K6,"-")</f>
        <v>0.225366876310273</v>
      </c>
    </row>
    <row r="34" customFormat="false" ht="15" hidden="false" customHeight="true" outlineLevel="0" collapsed="false">
      <c r="B34" s="210" t="s">
        <v>204</v>
      </c>
      <c r="C34" s="211" t="n">
        <v>86</v>
      </c>
      <c r="D34" s="211" t="n">
        <v>100</v>
      </c>
      <c r="E34" s="211" t="n">
        <v>153</v>
      </c>
      <c r="F34" s="211" t="n">
        <v>178</v>
      </c>
      <c r="G34" s="212" t="n">
        <v>260</v>
      </c>
      <c r="H34" s="212" t="n">
        <v>320</v>
      </c>
      <c r="I34" s="212" t="n">
        <v>380</v>
      </c>
      <c r="J34" s="212" t="n">
        <v>435</v>
      </c>
      <c r="K34" s="212" t="n">
        <v>490</v>
      </c>
    </row>
    <row r="35" customFormat="false" ht="15" hidden="false" customHeight="true" outlineLevel="0" collapsed="false">
      <c r="B35" s="210" t="s">
        <v>203</v>
      </c>
      <c r="C35" s="213" t="n">
        <f aca="false">IFERROR(C34/C6,"-")</f>
        <v>0.128935532233883</v>
      </c>
      <c r="D35" s="213" t="n">
        <f aca="false">IFERROR(D34/D6,"-")</f>
        <v>0.124378109452736</v>
      </c>
      <c r="E35" s="213" t="n">
        <f aca="false">IFERROR(E34/E6,"-")</f>
        <v>0.117692307692308</v>
      </c>
      <c r="F35" s="213" t="n">
        <f aca="false">IFERROR(F34/F6,"-")</f>
        <v>0.0807989105764866</v>
      </c>
      <c r="G35" s="213" t="n">
        <f aca="false">IFERROR(G34/G6,"-")</f>
        <v>0.0827498408656907</v>
      </c>
      <c r="H35" s="213" t="n">
        <f aca="false">IFERROR(H34/H6,"-")</f>
        <v>0.0782013685239492</v>
      </c>
      <c r="I35" s="213" t="n">
        <f aca="false">IFERROR(I34/I6,"-")</f>
        <v>0.0734867530458325</v>
      </c>
      <c r="J35" s="213" t="n">
        <f aca="false">IFERROR(J34/J6,"-")</f>
        <v>0.0683962264150943</v>
      </c>
      <c r="K35" s="213" t="n">
        <f aca="false">IFERROR(K34/K6,"-")</f>
        <v>0.0642033542976939</v>
      </c>
    </row>
    <row r="36" customFormat="false" ht="15" hidden="false" customHeight="true" outlineLevel="0" collapsed="false">
      <c r="B36" s="210" t="s">
        <v>205</v>
      </c>
      <c r="C36" s="211" t="n">
        <v>168</v>
      </c>
      <c r="D36" s="211" t="n">
        <v>198</v>
      </c>
      <c r="E36" s="211" t="n">
        <v>525</v>
      </c>
      <c r="F36" s="211" t="n">
        <v>263</v>
      </c>
      <c r="G36" s="212" t="n">
        <v>290</v>
      </c>
      <c r="H36" s="212" t="n">
        <v>330</v>
      </c>
      <c r="I36" s="212" t="n">
        <v>360</v>
      </c>
      <c r="J36" s="212" t="n">
        <v>390</v>
      </c>
      <c r="K36" s="212" t="n">
        <v>420</v>
      </c>
    </row>
    <row r="37" customFormat="false" ht="15" hidden="false" customHeight="true" outlineLevel="0" collapsed="false">
      <c r="B37" s="210" t="s">
        <v>203</v>
      </c>
      <c r="C37" s="213" t="n">
        <f aca="false">IFERROR(C36/C6,"-")</f>
        <v>0.251874062968516</v>
      </c>
      <c r="D37" s="213" t="n">
        <f aca="false">IFERROR(D36/D6,"-")</f>
        <v>0.246268656716418</v>
      </c>
      <c r="E37" s="213" t="n">
        <f aca="false">IFERROR(E36/E6,"-")</f>
        <v>0.403846153846154</v>
      </c>
      <c r="F37" s="213" t="n">
        <f aca="false">IFERROR(F36/F6,"-")</f>
        <v>0.119382660009079</v>
      </c>
      <c r="G37" s="213" t="n">
        <f aca="false">IFERROR(G36/G6,"-")</f>
        <v>0.0922978994271165</v>
      </c>
      <c r="H37" s="213" t="n">
        <f aca="false">IFERROR(H36/H6,"-")</f>
        <v>0.0806451612903226</v>
      </c>
      <c r="I37" s="213" t="n">
        <f aca="false">IFERROR(I36/I6,"-")</f>
        <v>0.069619029201315</v>
      </c>
      <c r="J37" s="213" t="n">
        <f aca="false">IFERROR(J36/J6,"-")</f>
        <v>0.0613207547169811</v>
      </c>
      <c r="K37" s="213" t="n">
        <f aca="false">IFERROR(K36/K6,"-")</f>
        <v>0.0550314465408805</v>
      </c>
    </row>
    <row r="38" customFormat="false" ht="15" hidden="false" customHeight="true" outlineLevel="0" collapsed="false">
      <c r="B38" s="210" t="s">
        <v>206</v>
      </c>
      <c r="C38" s="211" t="n">
        <f aca="false">C32+C34+C36</f>
        <v>731</v>
      </c>
      <c r="D38" s="211" t="n">
        <f aca="false">D32+D34+D36</f>
        <v>766</v>
      </c>
      <c r="E38" s="211" t="n">
        <f aca="false">E32+E34+E36</f>
        <v>1833</v>
      </c>
      <c r="F38" s="211" t="n">
        <f aca="false">F32+F34+F36</f>
        <v>1422</v>
      </c>
      <c r="G38" s="211" t="n">
        <f aca="false">G32+G34+G36</f>
        <v>1630</v>
      </c>
      <c r="H38" s="211" t="n">
        <f aca="false">H32+H34+H36</f>
        <v>1880</v>
      </c>
      <c r="I38" s="211" t="n">
        <f aca="false">I32+I34+I36</f>
        <v>2140</v>
      </c>
      <c r="J38" s="211" t="n">
        <f aca="false">J32+J34+J36</f>
        <v>2395</v>
      </c>
      <c r="K38" s="211" t="n">
        <f aca="false">K32+K34+K36</f>
        <v>2630</v>
      </c>
    </row>
    <row r="40" customFormat="false" ht="15" hidden="false" customHeight="true" outlineLevel="0" collapsed="false">
      <c r="B40" s="209" t="s">
        <v>71</v>
      </c>
      <c r="C40" s="215" t="n">
        <f aca="false">C28-C38</f>
        <v>-183</v>
      </c>
      <c r="D40" s="215" t="n">
        <f aca="false">D28-D38</f>
        <v>-93</v>
      </c>
      <c r="E40" s="215" t="n">
        <f aca="false">E28-E38</f>
        <v>-686</v>
      </c>
      <c r="F40" s="215" t="n">
        <f aca="false">F28-F38</f>
        <v>587</v>
      </c>
      <c r="G40" s="215" t="n">
        <f aca="false">G28-G38</f>
        <v>1237</v>
      </c>
      <c r="H40" s="215" t="n">
        <f aca="false">H28-H38</f>
        <v>1862</v>
      </c>
      <c r="I40" s="215" t="n">
        <f aca="false">I28-I38</f>
        <v>2601</v>
      </c>
      <c r="J40" s="215" t="n">
        <f aca="false">J28-J38</f>
        <v>3455</v>
      </c>
      <c r="K40" s="215" t="n">
        <f aca="false">K28-K38</f>
        <v>4407</v>
      </c>
      <c r="L40" s="213" t="n">
        <f aca="false">(K40/G40)^(1/4)-1</f>
        <v>0.373862715833865</v>
      </c>
    </row>
    <row r="41" customFormat="false" ht="15" hidden="false" customHeight="true" outlineLevel="0" collapsed="false">
      <c r="B41" s="210" t="s">
        <v>207</v>
      </c>
      <c r="C41" s="213" t="n">
        <f aca="false">IFERROR(C40/C6,"-")</f>
        <v>-0.274362818590705</v>
      </c>
      <c r="D41" s="213" t="n">
        <f aca="false">IFERROR(D40/D6,"-")</f>
        <v>-0.115671641791045</v>
      </c>
      <c r="E41" s="213" t="n">
        <f aca="false">IFERROR(E40/E6,"-")</f>
        <v>-0.527692307692308</v>
      </c>
      <c r="F41" s="213" t="n">
        <f aca="false">IFERROR(F40/F6,"-")</f>
        <v>0.266454834316841</v>
      </c>
      <c r="G41" s="213" t="n">
        <f aca="false">IFERROR(G40/G6,"-")</f>
        <v>0.393698281349459</v>
      </c>
      <c r="H41" s="213" t="n">
        <f aca="false">IFERROR(H40/H6,"-")</f>
        <v>0.455034213098729</v>
      </c>
      <c r="I41" s="213" t="n">
        <f aca="false">IFERROR(I40/I6,"-")</f>
        <v>0.502997485979501</v>
      </c>
      <c r="J41" s="213" t="n">
        <f aca="false">IFERROR(J40/J6,"-")</f>
        <v>0.543238993710692</v>
      </c>
      <c r="K41" s="213" t="n">
        <f aca="false">IFERROR(K40/K6,"-")</f>
        <v>0.577437106918239</v>
      </c>
    </row>
    <row r="42" customFormat="false" ht="15" hidden="false" customHeight="true" outlineLevel="0" collapsed="false">
      <c r="B42" s="210" t="s">
        <v>208</v>
      </c>
      <c r="D42" s="213" t="n">
        <f aca="false">IFERROR(D40/C40-1,"-")</f>
        <v>-0.491803278688525</v>
      </c>
      <c r="E42" s="213" t="n">
        <f aca="false">IFERROR(E40/D40-1,"-")</f>
        <v>6.37634408602151</v>
      </c>
      <c r="F42" s="213" t="n">
        <f aca="false">IFERROR(F40/E40-1,"-")</f>
        <v>-1.85568513119534</v>
      </c>
      <c r="G42" s="213" t="n">
        <f aca="false">IFERROR(G40/F40-1,"-")</f>
        <v>1.10732538330494</v>
      </c>
      <c r="H42" s="213" t="n">
        <f aca="false">IFERROR(H40/G40-1,"-")</f>
        <v>0.505254648342765</v>
      </c>
      <c r="I42" s="213" t="n">
        <f aca="false">IFERROR(I40/H40-1,"-")</f>
        <v>0.396885069817401</v>
      </c>
      <c r="J42" s="213" t="n">
        <f aca="false">IFERROR(J40/I40-1,"-")</f>
        <v>0.328335255670896</v>
      </c>
      <c r="K42" s="213" t="n">
        <f aca="false">IFERROR(K40/J40-1,"-")</f>
        <v>0.275542691751086</v>
      </c>
    </row>
    <row r="44" customFormat="false" ht="15" hidden="false" customHeight="true" outlineLevel="0" collapsed="false">
      <c r="B44" s="210" t="s">
        <v>72</v>
      </c>
      <c r="C44" s="211" t="n">
        <v>11</v>
      </c>
      <c r="D44" s="211" t="n">
        <v>14</v>
      </c>
      <c r="E44" s="211" t="n">
        <v>16</v>
      </c>
      <c r="F44" s="211" t="n">
        <v>16</v>
      </c>
      <c r="G44" s="212" t="n">
        <v>18</v>
      </c>
      <c r="H44" s="212" t="n">
        <v>20</v>
      </c>
      <c r="I44" s="212" t="n">
        <v>23</v>
      </c>
      <c r="J44" s="212" t="n">
        <v>26</v>
      </c>
      <c r="K44" s="212" t="n">
        <v>30</v>
      </c>
    </row>
    <row r="45" customFormat="false" ht="15" hidden="false" customHeight="true" outlineLevel="0" collapsed="false">
      <c r="B45" s="210" t="s">
        <v>203</v>
      </c>
      <c r="C45" s="213" t="n">
        <f aca="false">IFERROR(C44/C6,"-")</f>
        <v>0.0164917541229385</v>
      </c>
      <c r="D45" s="213" t="n">
        <f aca="false">IFERROR(D44/D6,"-")</f>
        <v>0.0174129353233831</v>
      </c>
      <c r="E45" s="213" t="n">
        <f aca="false">IFERROR(E44/E6,"-")</f>
        <v>0.0123076923076923</v>
      </c>
      <c r="F45" s="213" t="n">
        <f aca="false">IFERROR(F44/F6,"-")</f>
        <v>0.00726282342260554</v>
      </c>
      <c r="G45" s="213" t="n">
        <f aca="false">IFERROR(G44/G6,"-")</f>
        <v>0.00572883513685551</v>
      </c>
      <c r="H45" s="213" t="n">
        <f aca="false">IFERROR(H44/H6,"-")</f>
        <v>0.00488758553274682</v>
      </c>
      <c r="I45" s="213" t="n">
        <f aca="false">IFERROR(I44/I6,"-")</f>
        <v>0.00444788242119513</v>
      </c>
      <c r="J45" s="213" t="n">
        <f aca="false">IFERROR(J44/J6,"-")</f>
        <v>0.00408805031446541</v>
      </c>
      <c r="K45" s="213" t="n">
        <f aca="false">IFERROR(K44/K6,"-")</f>
        <v>0.00393081761006289</v>
      </c>
    </row>
    <row r="47" customFormat="false" ht="15" hidden="false" customHeight="true" outlineLevel="0" collapsed="false">
      <c r="B47" s="210" t="s">
        <v>209</v>
      </c>
      <c r="C47" s="211" t="n">
        <v>8</v>
      </c>
      <c r="D47" s="211" t="n">
        <v>10</v>
      </c>
      <c r="E47" s="211" t="n">
        <v>6</v>
      </c>
      <c r="F47" s="211" t="n">
        <v>7</v>
      </c>
      <c r="G47" s="212" t="n">
        <v>10</v>
      </c>
      <c r="H47" s="212" t="n">
        <v>12</v>
      </c>
      <c r="I47" s="212" t="n">
        <v>15</v>
      </c>
      <c r="J47" s="212" t="n">
        <v>19</v>
      </c>
      <c r="K47" s="212" t="n">
        <v>23</v>
      </c>
    </row>
    <row r="48" customFormat="false" ht="15" hidden="false" customHeight="true" outlineLevel="0" collapsed="false">
      <c r="B48" s="210" t="s">
        <v>203</v>
      </c>
      <c r="C48" s="213" t="n">
        <f aca="false">IFERROR(C47/C6,"-")</f>
        <v>0.0119940029985008</v>
      </c>
      <c r="D48" s="213" t="n">
        <f aca="false">IFERROR(D47/D6,"-")</f>
        <v>0.0124378109452736</v>
      </c>
      <c r="E48" s="213" t="n">
        <f aca="false">IFERROR(E47/E6,"-")</f>
        <v>0.00461538461538462</v>
      </c>
      <c r="F48" s="213" t="n">
        <f aca="false">IFERROR(F47/F6,"-")</f>
        <v>0.00317748524738992</v>
      </c>
      <c r="G48" s="213" t="n">
        <f aca="false">IFERROR(G47/G6,"-")</f>
        <v>0.00318268618714195</v>
      </c>
      <c r="H48" s="213" t="n">
        <f aca="false">IFERROR(H47/H6,"-")</f>
        <v>0.00293255131964809</v>
      </c>
      <c r="I48" s="213" t="n">
        <f aca="false">IFERROR(I47/I6,"-")</f>
        <v>0.00290079288338813</v>
      </c>
      <c r="J48" s="213" t="n">
        <f aca="false">IFERROR(J47/J6,"-")</f>
        <v>0.0029874213836478</v>
      </c>
      <c r="K48" s="213" t="n">
        <f aca="false">IFERROR(K47/K6,"-")</f>
        <v>0.00301362683438155</v>
      </c>
    </row>
    <row r="50" customFormat="false" ht="15" hidden="false" customHeight="true" outlineLevel="0" collapsed="false">
      <c r="B50" s="209" t="s">
        <v>210</v>
      </c>
      <c r="C50" s="211" t="n">
        <v>87</v>
      </c>
      <c r="D50" s="211" t="n">
        <v>527</v>
      </c>
      <c r="E50" s="211" t="n">
        <v>1034</v>
      </c>
      <c r="F50" s="211" t="n">
        <v>620</v>
      </c>
      <c r="G50" s="212" t="n">
        <v>470</v>
      </c>
      <c r="H50" s="212" t="n">
        <v>440</v>
      </c>
      <c r="I50" s="212" t="n">
        <v>420</v>
      </c>
      <c r="J50" s="212" t="n">
        <v>400</v>
      </c>
      <c r="K50" s="212" t="n">
        <v>385</v>
      </c>
    </row>
    <row r="51" customFormat="false" ht="15" hidden="false" customHeight="true" outlineLevel="0" collapsed="false">
      <c r="B51" s="210" t="s">
        <v>203</v>
      </c>
      <c r="C51" s="213" t="n">
        <f aca="false">IFERROR(C50/C6,"-")</f>
        <v>0.130434782608696</v>
      </c>
      <c r="D51" s="213" t="n">
        <f aca="false">IFERROR(D50/D6,"-")</f>
        <v>0.65547263681592</v>
      </c>
      <c r="E51" s="213" t="n">
        <f aca="false">IFERROR(E50/E6,"-")</f>
        <v>0.795384615384615</v>
      </c>
      <c r="F51" s="213" t="n">
        <f aca="false">IFERROR(F50/F6,"-")</f>
        <v>0.281434407625965</v>
      </c>
      <c r="G51" s="213" t="n">
        <f aca="false">IFERROR(G50/G6,"-")</f>
        <v>0.149586250795672</v>
      </c>
      <c r="H51" s="213" t="n">
        <f aca="false">IFERROR(H50/H6,"-")</f>
        <v>0.10752688172043</v>
      </c>
      <c r="I51" s="213" t="n">
        <f aca="false">IFERROR(I50/I6,"-")</f>
        <v>0.0812222007348675</v>
      </c>
      <c r="J51" s="213" t="n">
        <f aca="false">IFERROR(J50/J6,"-")</f>
        <v>0.0628930817610063</v>
      </c>
      <c r="K51" s="213" t="n">
        <f aca="false">IFERROR(K50/K6,"-")</f>
        <v>0.0504454926624738</v>
      </c>
    </row>
    <row r="53" customFormat="false" ht="15" hidden="false" customHeight="true" outlineLevel="0" collapsed="false">
      <c r="B53" s="209" t="s">
        <v>211</v>
      </c>
      <c r="C53" s="211" t="n">
        <v>-85</v>
      </c>
      <c r="D53" s="211" t="n">
        <v>-85</v>
      </c>
      <c r="E53" s="211" t="n">
        <v>216</v>
      </c>
      <c r="F53" s="211" t="n">
        <v>684</v>
      </c>
      <c r="G53" s="211" t="n">
        <f aca="false">G40*(1-$A$72)-G47</f>
        <v>1041.45</v>
      </c>
      <c r="H53" s="211" t="n">
        <f aca="false">H40*(1-$A$72)-H47</f>
        <v>1570.7</v>
      </c>
      <c r="I53" s="211" t="n">
        <f aca="false">I40*(1-$A$72)-I47</f>
        <v>2195.85</v>
      </c>
      <c r="J53" s="211" t="n">
        <f aca="false">J40*(1-$A$72)-J47</f>
        <v>2917.75</v>
      </c>
      <c r="K53" s="211" t="n">
        <f aca="false">K40*(1-$A$72)-K47</f>
        <v>3722.95</v>
      </c>
    </row>
    <row r="54" customFormat="false" ht="15" hidden="false" customHeight="true" outlineLevel="0" collapsed="false">
      <c r="B54" s="210" t="s">
        <v>212</v>
      </c>
      <c r="C54" s="213" t="n">
        <f aca="false">IFERROR(C53/C6,"-")</f>
        <v>-0.12743628185907</v>
      </c>
      <c r="D54" s="213" t="n">
        <f aca="false">IFERROR(D53/D6,"-")</f>
        <v>-0.105721393034826</v>
      </c>
      <c r="E54" s="213" t="n">
        <f aca="false">IFERROR(E53/E6,"-")</f>
        <v>0.166153846153846</v>
      </c>
      <c r="F54" s="213" t="n">
        <f aca="false">IFERROR(F53/F6,"-")</f>
        <v>0.310485701316387</v>
      </c>
      <c r="G54" s="213" t="n">
        <f aca="false">IFERROR(G53/G6,"-")</f>
        <v>0.331460852959898</v>
      </c>
      <c r="H54" s="213" t="n">
        <f aca="false">IFERROR(H53/H6,"-")</f>
        <v>0.383846529814272</v>
      </c>
      <c r="I54" s="213" t="n">
        <f aca="false">IFERROR(I53/I6,"-")</f>
        <v>0.424647070199188</v>
      </c>
      <c r="J54" s="213" t="n">
        <f aca="false">IFERROR(J53/J6,"-")</f>
        <v>0.45876572327044</v>
      </c>
      <c r="K54" s="213" t="n">
        <f aca="false">IFERROR(K53/K6,"-")</f>
        <v>0.487807914046122</v>
      </c>
    </row>
    <row r="58" customFormat="false" ht="15" hidden="false" customHeight="true" outlineLevel="0" collapsed="false">
      <c r="A58" s="216" t="n">
        <v>46112</v>
      </c>
      <c r="B58" s="209" t="s">
        <v>33</v>
      </c>
    </row>
    <row r="59" customFormat="false" ht="15" hidden="false" customHeight="true" outlineLevel="0" collapsed="false">
      <c r="B59" s="210" t="s">
        <v>34</v>
      </c>
      <c r="F59" s="217" t="n">
        <f aca="false">Summary!D12</f>
        <v>131.84</v>
      </c>
    </row>
    <row r="60" customFormat="false" ht="15" hidden="false" customHeight="true" outlineLevel="0" collapsed="false">
      <c r="B60" s="210" t="s">
        <v>213</v>
      </c>
      <c r="F60" s="218" t="n">
        <v>202.108</v>
      </c>
    </row>
    <row r="61" customFormat="false" ht="15" hidden="false" customHeight="true" outlineLevel="0" collapsed="false">
      <c r="B61" s="210" t="s">
        <v>36</v>
      </c>
      <c r="F61" s="219" t="n">
        <f aca="false">F59*F60</f>
        <v>26645.91872</v>
      </c>
    </row>
    <row r="62" customFormat="false" ht="15" hidden="false" customHeight="true" outlineLevel="0" collapsed="false">
      <c r="B62" s="210" t="s">
        <v>214</v>
      </c>
      <c r="F62" s="218" t="n">
        <v>23</v>
      </c>
    </row>
    <row r="63" customFormat="false" ht="15" hidden="false" customHeight="true" outlineLevel="0" collapsed="false">
      <c r="B63" s="210" t="s">
        <v>215</v>
      </c>
      <c r="F63" s="218" t="n">
        <v>-954</v>
      </c>
    </row>
    <row r="64" customFormat="false" ht="15" hidden="false" customHeight="true" outlineLevel="0" collapsed="false">
      <c r="B64" s="209" t="s">
        <v>40</v>
      </c>
      <c r="F64" s="220" t="n">
        <f aca="false">SUM(F61:F63)</f>
        <v>25714.91872</v>
      </c>
    </row>
    <row r="65" customFormat="false" ht="15" hidden="false" customHeight="true" outlineLevel="0" collapsed="false">
      <c r="B65" s="210" t="s">
        <v>6</v>
      </c>
      <c r="F65" s="221" t="n">
        <f aca="false">F64/G40</f>
        <v>20.7881315440582</v>
      </c>
    </row>
    <row r="66" customFormat="false" ht="15" hidden="false" customHeight="true" outlineLevel="0" collapsed="false">
      <c r="B66" s="210" t="s">
        <v>216</v>
      </c>
      <c r="F66" s="221" t="n">
        <f aca="false">F64/H40</f>
        <v>13.8103752524168</v>
      </c>
    </row>
    <row r="68" customFormat="false" ht="15" hidden="false" customHeight="true" outlineLevel="0" collapsed="false">
      <c r="A68" s="216" t="n">
        <v>48213</v>
      </c>
      <c r="B68" s="209" t="s">
        <v>1</v>
      </c>
    </row>
    <row r="69" customFormat="false" ht="15" hidden="false" customHeight="true" outlineLevel="0" collapsed="false">
      <c r="B69" s="210" t="s">
        <v>41</v>
      </c>
      <c r="F69" s="219" t="n">
        <f aca="false">K40</f>
        <v>4407</v>
      </c>
    </row>
    <row r="70" customFormat="false" ht="15" hidden="false" customHeight="true" outlineLevel="0" collapsed="false">
      <c r="B70" s="210" t="s">
        <v>217</v>
      </c>
      <c r="F70" s="222" t="n">
        <f aca="false">Summary!H12</f>
        <v>18</v>
      </c>
    </row>
    <row r="71" customFormat="false" ht="15" hidden="false" customHeight="true" outlineLevel="0" collapsed="false">
      <c r="B71" s="210" t="s">
        <v>61</v>
      </c>
      <c r="F71" s="219" t="n">
        <f aca="false">F69*F70</f>
        <v>79326</v>
      </c>
    </row>
    <row r="72" customFormat="false" ht="15" hidden="false" customHeight="true" outlineLevel="0" collapsed="false">
      <c r="A72" s="223" t="n">
        <v>0.15</v>
      </c>
      <c r="B72" s="210" t="s">
        <v>218</v>
      </c>
      <c r="F72" s="219" t="n">
        <f aca="false">-(F62+F63)</f>
        <v>931</v>
      </c>
    </row>
    <row r="73" customFormat="false" ht="15" hidden="false" customHeight="true" outlineLevel="0" collapsed="false">
      <c r="B73" s="210" t="s">
        <v>46</v>
      </c>
      <c r="F73" s="219" t="n">
        <f aca="false">F79</f>
        <v>11448.7</v>
      </c>
    </row>
    <row r="74" customFormat="false" ht="15" hidden="false" customHeight="true" outlineLevel="0" collapsed="false">
      <c r="B74" s="209" t="s">
        <v>63</v>
      </c>
      <c r="F74" s="220" t="n">
        <f aca="false">SUM(F71:F73)</f>
        <v>91705.7</v>
      </c>
    </row>
    <row r="75" customFormat="false" ht="15" hidden="false" customHeight="true" outlineLevel="0" collapsed="false">
      <c r="B75" s="210" t="s">
        <v>47</v>
      </c>
      <c r="F75" s="219" t="n">
        <f aca="false">F60</f>
        <v>202.108</v>
      </c>
    </row>
    <row r="76" customFormat="false" ht="15" hidden="false" customHeight="true" outlineLevel="0" collapsed="false">
      <c r="B76" s="209" t="s">
        <v>48</v>
      </c>
      <c r="F76" s="224" t="n">
        <f aca="false">F74/F75</f>
        <v>453.74601698102</v>
      </c>
    </row>
    <row r="78" customFormat="false" ht="15" hidden="false" customHeight="true" outlineLevel="0" collapsed="false">
      <c r="B78" s="209" t="s">
        <v>49</v>
      </c>
    </row>
    <row r="79" customFormat="false" ht="15" hidden="false" customHeight="true" outlineLevel="0" collapsed="false">
      <c r="B79" s="210" t="s">
        <v>58</v>
      </c>
      <c r="F79" s="219" t="n">
        <f aca="false">SUM(G53:K53)</f>
        <v>11448.7</v>
      </c>
    </row>
    <row r="80" customFormat="false" ht="15" hidden="false" customHeight="true" outlineLevel="0" collapsed="false">
      <c r="B80" s="210" t="s">
        <v>50</v>
      </c>
      <c r="F80" s="213" t="n">
        <f aca="false">F76/F59-1</f>
        <v>2.44164151229536</v>
      </c>
    </row>
    <row r="81" customFormat="false" ht="15" hidden="false" customHeight="true" outlineLevel="0" collapsed="false">
      <c r="B81" s="210" t="s">
        <v>10</v>
      </c>
      <c r="F81" s="221" t="n">
        <f aca="false">F76/F59</f>
        <v>3.44164151229536</v>
      </c>
    </row>
    <row r="82" customFormat="false" ht="15" hidden="false" customHeight="true" outlineLevel="0" collapsed="false">
      <c r="A82" s="225" t="n">
        <f aca="false">(A68-A58)/365</f>
        <v>5.75616438356164</v>
      </c>
      <c r="B82" s="210" t="s">
        <v>9</v>
      </c>
      <c r="F82" s="226" t="n">
        <f aca="false">F81^(1/A82)-1</f>
        <v>0.239511538019544</v>
      </c>
    </row>
    <row r="85" customFormat="false" ht="15" hidden="false" customHeight="true" outlineLevel="0" collapsed="false">
      <c r="B85" s="209" t="s">
        <v>219</v>
      </c>
    </row>
    <row r="86" customFormat="false" ht="15" hidden="false" customHeight="true" outlineLevel="0" collapsed="false">
      <c r="B86" s="210" t="s">
        <v>220</v>
      </c>
      <c r="D86" s="227" t="n">
        <v>10</v>
      </c>
      <c r="E86" s="227" t="n">
        <v>12</v>
      </c>
      <c r="F86" s="227" t="n">
        <v>14</v>
      </c>
      <c r="G86" s="227" t="n">
        <v>16</v>
      </c>
      <c r="H86" s="227" t="n">
        <v>18</v>
      </c>
      <c r="I86" s="227" t="n">
        <v>20</v>
      </c>
      <c r="J86" s="227" t="n">
        <v>22</v>
      </c>
      <c r="K86" s="227" t="n">
        <v>24</v>
      </c>
    </row>
    <row r="87" customFormat="false" ht="15" hidden="false" customHeight="true" outlineLevel="0" collapsed="false">
      <c r="B87" s="210" t="s">
        <v>61</v>
      </c>
      <c r="D87" s="211" t="n">
        <f aca="false">D86*$F$69</f>
        <v>44070</v>
      </c>
      <c r="E87" s="211" t="n">
        <f aca="false">E86*$F$69</f>
        <v>52884</v>
      </c>
      <c r="F87" s="211" t="n">
        <f aca="false">F86*$F$69</f>
        <v>61698</v>
      </c>
      <c r="G87" s="211" t="n">
        <f aca="false">G86*$F$69</f>
        <v>70512</v>
      </c>
      <c r="H87" s="211" t="n">
        <f aca="false">H86*$F$69</f>
        <v>79326</v>
      </c>
      <c r="I87" s="211" t="n">
        <f aca="false">I86*$F$69</f>
        <v>88140</v>
      </c>
      <c r="J87" s="211" t="n">
        <f aca="false">J86*$F$69</f>
        <v>96954</v>
      </c>
      <c r="K87" s="211" t="n">
        <f aca="false">K86*$F$69</f>
        <v>105768</v>
      </c>
    </row>
    <row r="88" customFormat="false" ht="15" hidden="false" customHeight="true" outlineLevel="0" collapsed="false">
      <c r="B88" s="210" t="s">
        <v>221</v>
      </c>
      <c r="D88" s="211" t="n">
        <f aca="false">$F$72</f>
        <v>931</v>
      </c>
      <c r="E88" s="211" t="n">
        <f aca="false">$F$72</f>
        <v>931</v>
      </c>
      <c r="F88" s="211" t="n">
        <f aca="false">$F$72</f>
        <v>931</v>
      </c>
      <c r="G88" s="211" t="n">
        <f aca="false">$F$72</f>
        <v>931</v>
      </c>
      <c r="H88" s="211" t="n">
        <f aca="false">$F$72</f>
        <v>931</v>
      </c>
      <c r="I88" s="211" t="n">
        <f aca="false">$F$72</f>
        <v>931</v>
      </c>
      <c r="J88" s="211" t="n">
        <f aca="false">$F$72</f>
        <v>931</v>
      </c>
      <c r="K88" s="211" t="n">
        <f aca="false">$F$72</f>
        <v>931</v>
      </c>
    </row>
    <row r="89" customFormat="false" ht="15" hidden="false" customHeight="true" outlineLevel="0" collapsed="false">
      <c r="B89" s="210" t="s">
        <v>222</v>
      </c>
      <c r="D89" s="211" t="n">
        <f aca="false">$F$79</f>
        <v>11448.7</v>
      </c>
      <c r="E89" s="211" t="n">
        <f aca="false">$F$79</f>
        <v>11448.7</v>
      </c>
      <c r="F89" s="211" t="n">
        <f aca="false">$F$79</f>
        <v>11448.7</v>
      </c>
      <c r="G89" s="211" t="n">
        <f aca="false">$F$79</f>
        <v>11448.7</v>
      </c>
      <c r="H89" s="211" t="n">
        <f aca="false">$F$79</f>
        <v>11448.7</v>
      </c>
      <c r="I89" s="211" t="n">
        <f aca="false">$F$79</f>
        <v>11448.7</v>
      </c>
      <c r="J89" s="211" t="n">
        <f aca="false">$F$79</f>
        <v>11448.7</v>
      </c>
      <c r="K89" s="211" t="n">
        <f aca="false">$F$79</f>
        <v>11448.7</v>
      </c>
    </row>
    <row r="90" customFormat="false" ht="15" hidden="false" customHeight="true" outlineLevel="0" collapsed="false">
      <c r="B90" s="209" t="s">
        <v>63</v>
      </c>
      <c r="D90" s="215" t="n">
        <f aca="false">SUM(D87:D89)</f>
        <v>56449.7</v>
      </c>
      <c r="E90" s="215" t="n">
        <f aca="false">SUM(E87:E89)</f>
        <v>65263.7</v>
      </c>
      <c r="F90" s="215" t="n">
        <f aca="false">SUM(F87:F89)</f>
        <v>74077.7</v>
      </c>
      <c r="G90" s="215" t="n">
        <f aca="false">SUM(G87:G89)</f>
        <v>82891.7</v>
      </c>
      <c r="H90" s="215" t="n">
        <f aca="false">SUM(H87:H89)</f>
        <v>91705.7</v>
      </c>
      <c r="I90" s="215" t="n">
        <f aca="false">SUM(I87:I89)</f>
        <v>100519.7</v>
      </c>
      <c r="J90" s="215" t="n">
        <f aca="false">SUM(J87:J89)</f>
        <v>109333.7</v>
      </c>
      <c r="K90" s="215" t="n">
        <f aca="false">SUM(K87:K89)</f>
        <v>118147.7</v>
      </c>
    </row>
    <row r="91" customFormat="false" ht="15" hidden="false" customHeight="true" outlineLevel="0" collapsed="false">
      <c r="B91" s="209" t="s">
        <v>48</v>
      </c>
      <c r="D91" s="224" t="n">
        <f aca="false">D90/$F$60</f>
        <v>279.304629208146</v>
      </c>
      <c r="E91" s="224" t="n">
        <f aca="false">E90/$F$60</f>
        <v>322.914976151365</v>
      </c>
      <c r="F91" s="224" t="n">
        <f aca="false">F90/$F$60</f>
        <v>366.525323094583</v>
      </c>
      <c r="G91" s="224" t="n">
        <f aca="false">G90/$F$60</f>
        <v>410.135670037802</v>
      </c>
      <c r="H91" s="224" t="n">
        <f aca="false">H90/$F$60</f>
        <v>453.74601698102</v>
      </c>
      <c r="I91" s="224" t="n">
        <f aca="false">I90/$F$60</f>
        <v>497.356363924239</v>
      </c>
      <c r="J91" s="224" t="n">
        <f aca="false">J90/$F$60</f>
        <v>540.966710867457</v>
      </c>
      <c r="K91" s="224" t="n">
        <f aca="false">K90/$F$60</f>
        <v>584.577057810676</v>
      </c>
    </row>
    <row r="92" customFormat="false" ht="15" hidden="false" customHeight="true" outlineLevel="0" collapsed="false">
      <c r="B92" s="210" t="s">
        <v>223</v>
      </c>
      <c r="D92" s="213" t="n">
        <f aca="false">D91/$F$59-1</f>
        <v>1.11851205406664</v>
      </c>
      <c r="E92" s="213" t="n">
        <f aca="false">E91/$F$59-1</f>
        <v>1.44929441862382</v>
      </c>
      <c r="F92" s="213" t="n">
        <f aca="false">F91/$F$59-1</f>
        <v>1.780076783181</v>
      </c>
      <c r="G92" s="213" t="n">
        <f aca="false">G91/$F$59-1</f>
        <v>2.11085914773818</v>
      </c>
      <c r="H92" s="213" t="n">
        <f aca="false">H91/$F$59-1</f>
        <v>2.44164151229536</v>
      </c>
      <c r="I92" s="213" t="n">
        <f aca="false">I91/$F$59-1</f>
        <v>2.77242387685254</v>
      </c>
      <c r="J92" s="213" t="n">
        <f aca="false">J91/$F$59-1</f>
        <v>3.10320624140972</v>
      </c>
      <c r="K92" s="213" t="n">
        <f aca="false">K91/$F$59-1</f>
        <v>3.43398860596689</v>
      </c>
    </row>
    <row r="93" customFormat="false" ht="15" hidden="false" customHeight="true" outlineLevel="0" collapsed="false">
      <c r="B93" s="210" t="s">
        <v>224</v>
      </c>
      <c r="D93" s="213" t="n">
        <f aca="false">IFERROR((D91/$F$59)^(1/$A$82)-1,"-")</f>
        <v>0.139305806432556</v>
      </c>
      <c r="E93" s="213" t="n">
        <f aca="false">IFERROR((E91/$F$59)^(1/$A$82)-1,"-")</f>
        <v>0.168387347920795</v>
      </c>
      <c r="F93" s="213" t="n">
        <f aca="false">IFERROR((F91/$F$59)^(1/$A$82)-1,"-")</f>
        <v>0.194385614155439</v>
      </c>
      <c r="G93" s="213" t="n">
        <f aca="false">IFERROR((G91/$F$59)^(1/$A$82)-1,"-")</f>
        <v>0.217941766912248</v>
      </c>
      <c r="H93" s="213" t="n">
        <f aca="false">IFERROR((H91/$F$59)^(1/$A$82)-1,"-")</f>
        <v>0.239511538019544</v>
      </c>
      <c r="I93" s="213" t="n">
        <f aca="false">IFERROR((I91/$F$59)^(1/$A$82)-1,"-")</f>
        <v>0.259431147477111</v>
      </c>
      <c r="J93" s="213" t="n">
        <f aca="false">IFERROR((J91/$F$59)^(1/$A$82)-1,"-")</f>
        <v>0.277956158040888</v>
      </c>
      <c r="K93" s="213" t="n">
        <f aca="false">IFERROR((K91/$F$59)^(1/$A$82)-1,"-")</f>
        <v>0.295285635476022</v>
      </c>
    </row>
    <row r="96" customFormat="false" ht="15" hidden="false" customHeight="true" outlineLevel="0" collapsed="false">
      <c r="B96" s="209" t="s">
        <v>225</v>
      </c>
    </row>
    <row r="97" customFormat="false" ht="15" hidden="false" customHeight="true" outlineLevel="0" collapsed="false">
      <c r="B97" s="210" t="s">
        <v>226</v>
      </c>
      <c r="F97" s="211" t="n">
        <f aca="false">SUM(G6:K6)</f>
        <v>26397</v>
      </c>
    </row>
    <row r="98" customFormat="false" ht="15" hidden="false" customHeight="true" outlineLevel="0" collapsed="false">
      <c r="B98" s="210" t="s">
        <v>54</v>
      </c>
      <c r="F98" s="211" t="n">
        <f aca="false">SUM(G40:K40)</f>
        <v>13562</v>
      </c>
    </row>
    <row r="99" customFormat="false" ht="15" hidden="false" customHeight="true" outlineLevel="0" collapsed="false">
      <c r="B99" s="210" t="s">
        <v>53</v>
      </c>
      <c r="F99" s="211" t="n">
        <f aca="false">SUM(G44:K44)</f>
        <v>117</v>
      </c>
    </row>
    <row r="100" customFormat="false" ht="15" hidden="false" customHeight="true" outlineLevel="0" collapsed="false">
      <c r="B100" s="210" t="s">
        <v>227</v>
      </c>
      <c r="F100" s="212" t="n">
        <v>0</v>
      </c>
    </row>
    <row r="101" customFormat="false" ht="15" hidden="false" customHeight="true" outlineLevel="0" collapsed="false">
      <c r="B101" s="210" t="s">
        <v>56</v>
      </c>
      <c r="F101" s="211" t="n">
        <f aca="false">-(F98-F99)*A72</f>
        <v>-2016.75</v>
      </c>
    </row>
    <row r="102" customFormat="false" ht="15" hidden="false" customHeight="true" outlineLevel="0" collapsed="false">
      <c r="B102" s="210" t="s">
        <v>228</v>
      </c>
      <c r="F102" s="211" t="n">
        <f aca="false">-SUM(G47:K47)</f>
        <v>-79</v>
      </c>
    </row>
    <row r="103" customFormat="false" ht="15" hidden="false" customHeight="true" outlineLevel="0" collapsed="false">
      <c r="B103" s="209" t="s">
        <v>58</v>
      </c>
      <c r="F103" s="215" t="n">
        <f aca="false">F98+F100+F101+F102</f>
        <v>11466.25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2025-07-03T12:56:27Z</dcterms:created>
  <dc:creator>Nicholas Steiglehner</dc:creator>
  <dc:description/>
  <dc:language>en-US</dc:language>
  <cp:lastModifiedBy>Steiglehner, Nicholas</cp:lastModifiedBy>
  <cp:lastPrinted>2025-09-18T02:22:12Z</cp:lastPrinted>
  <dcterms:modified xsi:type="dcterms:W3CDTF">2026-04-03T05:34:37Z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
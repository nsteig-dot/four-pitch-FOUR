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Operating Model" sheetId="2" state="visible" r:id="rId4"/>
    <sheet name="Cash Waterfall" sheetId="3" state="visible" r:id="rId5"/>
    <sheet name="Buyback &amp; Shares" sheetId="4" state="visible" r:id="rId6"/>
    <sheet name="Valuation" sheetId="5" state="visible" r:id="rId7"/>
    <sheet name="Peer Comps" sheetId="6" state="visible" r:id="rId8"/>
    <sheet name="Float Analysi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<sst xmlns="http://schemas.openxmlformats.org/spreadsheetml/2006/main" count="346" uniqueCount="297">
  <si>
    <t xml:space="preserve">SHIFT4 PAYMENTS (FOUR) — Investment Model</t>
  </si>
  <si>
    <t xml:space="preserve">Nicholas Steiglehner | University of Michigan, Ross School of Business | Quasi-LBO Framework</t>
  </si>
  <si>
    <t xml:space="preserve">COMPANY OVERVIEW</t>
  </si>
  <si>
    <t xml:space="preserve">KEY THESIS METRICS</t>
  </si>
  <si>
    <t xml:space="preserve">Ticker</t>
  </si>
  <si>
    <t xml:space="preserve">FOUR (NYSE)</t>
  </si>
  <si>
    <t xml:space="preserve">EV/EBITDA (on guide)</t>
  </si>
  <si>
    <t xml:space="preserve">6.0x</t>
  </si>
  <si>
    <t xml:space="preserve">Company</t>
  </si>
  <si>
    <t xml:space="preserve">Shift4 Payments, Inc.</t>
  </si>
  <si>
    <t xml:space="preserve">FCF Yield</t>
  </si>
  <si>
    <t xml:space="preserve">14.1%</t>
  </si>
  <si>
    <t xml:space="preserve">Share Price</t>
  </si>
  <si>
    <t xml:space="preserve">$42.56</t>
  </si>
  <si>
    <t xml:space="preserve">GRLNF Growth</t>
  </si>
  <si>
    <t xml:space="preserve">29%</t>
  </si>
  <si>
    <t xml:space="preserve">Market Cap</t>
  </si>
  <si>
    <t xml:space="preserve">$4.3B</t>
  </si>
  <si>
    <t xml:space="preserve">PEG Ratio</t>
  </si>
  <si>
    <t xml:space="preserve">0.24</t>
  </si>
  <si>
    <t xml:space="preserve">Enterprise Value</t>
  </si>
  <si>
    <t xml:space="preserve">~$8.0B</t>
  </si>
  <si>
    <t xml:space="preserve">P/E (on guide)</t>
  </si>
  <si>
    <t xml:space="preserve">7.3x</t>
  </si>
  <si>
    <t xml:space="preserve">Sector</t>
  </si>
  <si>
    <t xml:space="preserve">Payments / Fintech</t>
  </si>
  <si>
    <t xml:space="preserve">Short Interest / Float</t>
  </si>
  <si>
    <t xml:space="preserve">~45%</t>
  </si>
  <si>
    <t xml:space="preserve">CEO</t>
  </si>
  <si>
    <t xml:space="preserve">Jared Isaacman (Founder)</t>
  </si>
  <si>
    <t xml:space="preserve">Insider Buying</t>
  </si>
  <si>
    <t xml:space="preserve">$13.7M at $44-48</t>
  </si>
  <si>
    <t xml:space="preserve">VALUATION SCENARIOS — QUASI-LBO FRAMEWORK</t>
  </si>
  <si>
    <t xml:space="preserve">Scenario</t>
  </si>
  <si>
    <t xml:space="preserve">FY2030E EBITDA</t>
  </si>
  <si>
    <t xml:space="preserve">Exit Multiple</t>
  </si>
  <si>
    <t xml:space="preserve">Implied EV</t>
  </si>
  <si>
    <t xml:space="preserve">Net Debt</t>
  </si>
  <si>
    <t xml:space="preserve">Equity Value</t>
  </si>
  <si>
    <t xml:space="preserve">Implied Price</t>
  </si>
  <si>
    <t xml:space="preserve">MOIC</t>
  </si>
  <si>
    <t xml:space="preserve">IRR</t>
  </si>
  <si>
    <t xml:space="preserve">Bear</t>
  </si>
  <si>
    <t xml:space="preserve">Base</t>
  </si>
  <si>
    <t xml:space="preserve">Bull</t>
  </si>
  <si>
    <t xml:space="preserve">ANALYTICAL FRAMEWORK — QUASI-LBO</t>
  </si>
  <si>
    <t xml:space="preserve">Private equity returns follow a predictable decomposition: the business grows revenue, expands margins, and is eventually sold at some multiple of earnings. Along the way, free cash flow retires debt. The equity check compounds from two directions simultaneously — the business itself getting bigger, and the debt layer staying roughly fixed while enterprise value climbs above it. Every incremental dollar of EV creation flows disproportionately to equity holders. That mechanic doesn't disappear in public markets. It just gets ignored.</t>
  </si>
  <si>
    <t xml:space="preserve">The cleaner starting point is enterprise value, not earnings per share. Build a forward EBITDA projection. Apply a conservative exit multiple. Then work backward to equity value, netting out net debt after accounting for FCF accumulation and share count reduction over the holding period. P/E ratios are a snapshot of today's interest burden — they don't capture the quiet migration of value from the debt tranche to the equity tranche that plays out over years as cash flows accrue. That migration isn't financial engineering. It's arithmetic.</t>
  </si>
  <si>
    <t xml:space="preserve">Three conditions are required for the framework to work: (1) a high-quality business that reliably compounds free cash flow, (2) a manageable and declining debt stack, and (3) an EV multiple that doesn't price in the compounding. When those three conditions are satisfied, the equity payoff profile becomes structurally asymmetric — downside anchored to business quality, upside amplified by the math of value migration. FOUR satisfies all three today at $42.56.</t>
  </si>
  <si>
    <t xml:space="preserve">When the five questions get five affirmative answers, you're not looking at a leveraged bet. You're looking at something that resembles a small private buyout hiding in the public market at a discount. That's not a reason to be aggressive — it's a reason to be patient. The business compounds, FCF accrues, and the value follows. The weighing machine, given enough time, tends to respect the arithmetic.</t>
  </si>
  <si>
    <t xml:space="preserve">SHEET NAVIGATION</t>
  </si>
  <si>
    <t xml:space="preserve">Operating Model</t>
  </si>
  <si>
    <t xml:space="preserve">Annual P&amp;L FY2022A-FY2030E</t>
  </si>
  <si>
    <t xml:space="preserve">Quarterly Cash Waterfall</t>
  </si>
  <si>
    <t xml:space="preserve">Q4'25A through Q4'27E with full cash bridge</t>
  </si>
  <si>
    <t xml:space="preserve">Buyback &amp; Share Count</t>
  </si>
  <si>
    <t xml:space="preserve">$1B buyback tracker, share count evolution</t>
  </si>
  <si>
    <t xml:space="preserve">Valuation Scenarios</t>
  </si>
  <si>
    <t xml:space="preserve">Sensitivity matrix, FCF multiples, quasi-LBO returns</t>
  </si>
  <si>
    <t xml:space="preserve">Peer Comps</t>
  </si>
  <si>
    <t xml:space="preserve">FOUR vs TOST, GPN, FIS, FISV, PYPL, ADYEN</t>
  </si>
  <si>
    <t xml:space="preserve">Float Analysis</t>
  </si>
  <si>
    <t xml:space="preserve">Real float calculation, short squeeze mechanics</t>
  </si>
  <si>
    <t xml:space="preserve">Source: Shift4 Payments 10-K/10-Q filings, Company guidance, User estimates</t>
  </si>
  <si>
    <t xml:space="preserve">Data: https://perplexity.ai/finance/FOUR</t>
  </si>
  <si>
    <t xml:space="preserve">Generated: 2026-04-02 01:24</t>
  </si>
  <si>
    <t xml:space="preserve">OPERATING MODEL — Shift4 Payments (FOUR)</t>
  </si>
  <si>
    <t xml:space="preserve">Annual Operating Model FY2022A through FY2030E ($M unless noted)</t>
  </si>
  <si>
    <t xml:space="preserve">($M)</t>
  </si>
  <si>
    <t xml:space="preserve">FY2022A</t>
  </si>
  <si>
    <t xml:space="preserve">FY2023A</t>
  </si>
  <si>
    <t xml:space="preserve">FY2024A</t>
  </si>
  <si>
    <t xml:space="preserve">FY2025A</t>
  </si>
  <si>
    <t xml:space="preserve">FY2026E</t>
  </si>
  <si>
    <t xml:space="preserve">FY2027E</t>
  </si>
  <si>
    <t xml:space="preserve">FY2028E</t>
  </si>
  <si>
    <t xml:space="preserve">FY2029E</t>
  </si>
  <si>
    <t xml:space="preserve">FY2030E</t>
  </si>
  <si>
    <t xml:space="preserve">Revenue / Gross Revenue</t>
  </si>
  <si>
    <t xml:space="preserve">  Revenue Growth %</t>
  </si>
  <si>
    <t xml:space="preserve">GRLNF (Net Revenue)</t>
  </si>
  <si>
    <t xml:space="preserve">  GRLNF Growth %</t>
  </si>
  <si>
    <t xml:space="preserve">Gross Profit</t>
  </si>
  <si>
    <t xml:space="preserve">  Gross Margin %</t>
  </si>
  <si>
    <t xml:space="preserve">Adj. EBITDA</t>
  </si>
  <si>
    <t xml:space="preserve">  EBITDA Growth %</t>
  </si>
  <si>
    <t xml:space="preserve">  EBITDA Margin %</t>
  </si>
  <si>
    <t xml:space="preserve">  Mgmt Guide EBITDA</t>
  </si>
  <si>
    <t xml:space="preserve">Free Cash Flow</t>
  </si>
  <si>
    <t xml:space="preserve">  FCF Margin %</t>
  </si>
  <si>
    <t xml:space="preserve">E2E Volume ($B)</t>
  </si>
  <si>
    <t xml:space="preserve">  E2E Volume Growth %</t>
  </si>
  <si>
    <t xml:space="preserve">Blended Spread (bps)</t>
  </si>
  <si>
    <t xml:space="preserve">Legend:</t>
  </si>
  <si>
    <t xml:space="preserve">Blue text = Hardcoded actuals/assumptions</t>
  </si>
  <si>
    <t xml:space="preserve">Black text = Calculated formulas</t>
  </si>
  <si>
    <t xml:space="preserve">Yellow highlight = Key assumptions</t>
  </si>
  <si>
    <t xml:space="preserve">QUARTERLY CASH WATERFALL — Shift4 Payments (FOUR)</t>
  </si>
  <si>
    <t xml:space="preserve">Q4 2025A through Q4 2027E ($M)</t>
  </si>
  <si>
    <t xml:space="preserve">Q4 25A</t>
  </si>
  <si>
    <t xml:space="preserve">Q1 26E</t>
  </si>
  <si>
    <t xml:space="preserve">Q2 26E</t>
  </si>
  <si>
    <t xml:space="preserve">Q3 26E</t>
  </si>
  <si>
    <t xml:space="preserve">Q4 26E</t>
  </si>
  <si>
    <t xml:space="preserve">Q1 27E</t>
  </si>
  <si>
    <t xml:space="preserve">Q2 27E</t>
  </si>
  <si>
    <t xml:space="preserve">Q3 27E</t>
  </si>
  <si>
    <t xml:space="preserve">Q4 27E</t>
  </si>
  <si>
    <t xml:space="preserve">Starting Cash</t>
  </si>
  <si>
    <t xml:space="preserve">(+) Free Cash Flow</t>
  </si>
  <si>
    <t xml:space="preserve">(-) Share Buyback</t>
  </si>
  <si>
    <t xml:space="preserve">(-) M&amp;A / TRA</t>
  </si>
  <si>
    <t xml:space="preserve">(+/-) AR Factoring</t>
  </si>
  <si>
    <t xml:space="preserve">(-) Conv Note Repay</t>
  </si>
  <si>
    <t xml:space="preserve">Ending Cash</t>
  </si>
  <si>
    <t xml:space="preserve">Quarterly EBITDA</t>
  </si>
  <si>
    <t xml:space="preserve">LTM EBITDA</t>
  </si>
  <si>
    <t xml:space="preserve">Total Debt</t>
  </si>
  <si>
    <t xml:space="preserve">Net Leverage</t>
  </si>
  <si>
    <t xml:space="preserve">KEY MILESTONES</t>
  </si>
  <si>
    <t xml:space="preserve">Q1 26E: Peak pain quarter — $478M total cash drain, but leverage stays under 3.75x covenant</t>
  </si>
  <si>
    <t xml:space="preserve">Q2 26E: $1B buyback authorization COMPLETE — 18.8M shares retired</t>
  </si>
  <si>
    <t xml:space="preserve">Q3 26E: World Cup tailwind in Q2-Q3 — peak seasonal FCF, sub-3x leverage in sight</t>
  </si>
  <si>
    <t xml:space="preserve">Q4 26E: SUB-3.0x LEVERAGE ACHIEVED — credit upgrade territory, institutional buyers return</t>
  </si>
  <si>
    <t xml:space="preserve">Q3 27E: $632.5M convertible note REPAID in cash — hedge shorts forced to cover ~1-1.5M shares</t>
  </si>
  <si>
    <t xml:space="preserve">Q4 27E: 2.0x NET LEVERAGE — near investment-grade, clean capital structure</t>
  </si>
  <si>
    <t xml:space="preserve">BUYBACK &amp; SHARE COUNT — Shift4 Payments (FOUR)</t>
  </si>
  <si>
    <t xml:space="preserve">$1B Authorization Tracker &amp; Fully Diluted Share Count</t>
  </si>
  <si>
    <t xml:space="preserve">BUYBACK TRACKER ($1B AUTHORIZATION)</t>
  </si>
  <si>
    <t xml:space="preserve">Period</t>
  </si>
  <si>
    <t xml:space="preserve">Shares Retired (M)</t>
  </si>
  <si>
    <t xml:space="preserve">$ Deployed ($M)</t>
  </si>
  <si>
    <t xml:space="preserve">Avg Price</t>
  </si>
  <si>
    <t xml:space="preserve">Q4 2025 (confirmed)</t>
  </si>
  <si>
    <t xml:space="preserve">Q1 2026 (est.)</t>
  </si>
  <si>
    <t xml:space="preserve">Q2 2026 (est.)</t>
  </si>
  <si>
    <t xml:space="preserve">TOTAL</t>
  </si>
  <si>
    <t xml:space="preserve">SHARE COUNT EVOLUTION</t>
  </si>
  <si>
    <t xml:space="preserve">Dec 31, 2025</t>
  </si>
  <si>
    <t xml:space="preserve">Post-Buyback</t>
  </si>
  <si>
    <t xml:space="preserve">Change</t>
  </si>
  <si>
    <t xml:space="preserve">% Change</t>
  </si>
  <si>
    <t xml:space="preserve">FD Common (incl unvested RSUs)</t>
  </si>
  <si>
    <t xml:space="preserve">(-) Shares Retired ($1B auth)</t>
  </si>
  <si>
    <t xml:space="preserve">(+) SBC Issuance (est)</t>
  </si>
  <si>
    <t xml:space="preserve">Net Common Shares (Post-Auth)</t>
  </si>
  <si>
    <t xml:space="preserve">Preferred Shares</t>
  </si>
  <si>
    <t xml:space="preserve">Total Fully Diluted</t>
  </si>
  <si>
    <t xml:space="preserve">FCF PER SHARE — THE COMPOUNDING MACHINE</t>
  </si>
  <si>
    <t xml:space="preserve">Free Cash Flow ($M)</t>
  </si>
  <si>
    <t xml:space="preserve">Common Shares (M)</t>
  </si>
  <si>
    <t xml:space="preserve">FD Shares (w/ Preferred)</t>
  </si>
  <si>
    <t xml:space="preserve">FCF per Common Share</t>
  </si>
  <si>
    <t xml:space="preserve">  YoY Growth</t>
  </si>
  <si>
    <t xml:space="preserve">Double Engine: FCF grows ~50% + common shares drop ~15% = FCF/share +75% in 2 years</t>
  </si>
  <si>
    <t xml:space="preserve">VALUATION SCENARIOS — Shift4 Payments (FOUR)</t>
  </si>
  <si>
    <t xml:space="preserve">Quasi-LBO Framework &amp; Sensitivity Analysis</t>
  </si>
  <si>
    <t xml:space="preserve">CURRENT VALUATION (ON GUIDE)</t>
  </si>
  <si>
    <t xml:space="preserve">P/E (Non-GAAP)</t>
  </si>
  <si>
    <t xml:space="preserve">EV/EBITDA (FY26 Guide)</t>
  </si>
  <si>
    <t xml:space="preserve">PEG Ratio (29% GRLNF)</t>
  </si>
  <si>
    <t xml:space="preserve">0.25</t>
  </si>
  <si>
    <t xml:space="preserve">FCF MULTIPLE VALUATION (FY27E)</t>
  </si>
  <si>
    <t xml:space="preserve">Metric</t>
  </si>
  <si>
    <t xml:space="preserve">Value</t>
  </si>
  <si>
    <t xml:space="preserve">At 15x FCF</t>
  </si>
  <si>
    <t xml:space="preserve">At 18x FCF</t>
  </si>
  <si>
    <t xml:space="preserve">At 20x FCF</t>
  </si>
  <si>
    <t xml:space="preserve">FY27E FCF/Share</t>
  </si>
  <si>
    <t xml:space="preserve">Upside from $42.56</t>
  </si>
  <si>
    <t xml:space="preserve">SENSITIVITY MATRIX: IMPLIED SHARE PRICE</t>
  </si>
  <si>
    <t xml:space="preserve">FY2030E EBITDA Exit Multiple (x-axis) vs. Annual EBITDA Growth FY26E→FY30E (y-axis), Net Debt FY30E = $2,000M, Shares = 63M</t>
  </si>
  <si>
    <t xml:space="preserve">Growth \ Multiple</t>
  </si>
  <si>
    <t xml:space="preserve">Assumptions: FY26E EBITDA = $1,307M (user est.), FY27E net debt = ~$3,166M, FD shares = 63M (after cumulative buybacks)</t>
  </si>
  <si>
    <t xml:space="preserve">QUASI-LBO RETURN FRAMEWORK</t>
  </si>
  <si>
    <t xml:space="preserve">EBITDA Growth Rate (to 2030)</t>
  </si>
  <si>
    <t xml:space="preserve">12%</t>
  </si>
  <si>
    <t xml:space="preserve">Margin Trajectory</t>
  </si>
  <si>
    <t xml:space="preserve">Flat (conservative)</t>
  </si>
  <si>
    <t xml:space="preserve">10.0x</t>
  </si>
  <si>
    <t xml:space="preserve">$1,850M</t>
  </si>
  <si>
    <t xml:space="preserve">Diluted Shares (2030)</t>
  </si>
  <si>
    <t xml:space="preserve">63M</t>
  </si>
  <si>
    <t xml:space="preserve">Implied Exit Price</t>
  </si>
  <si>
    <t xml:space="preserve">~$255/share</t>
  </si>
  <si>
    <t xml:space="preserve">MOIC (from $42.56)</t>
  </si>
  <si>
    <t xml:space="preserve">4.8x</t>
  </si>
  <si>
    <t xml:space="preserve">IRR (3-year hold)</t>
  </si>
  <si>
    <t xml:space="preserve">~39%</t>
  </si>
  <si>
    <t xml:space="preserve">Cumulative FCF (2026-2030)</t>
  </si>
  <si>
    <t xml:space="preserve">Covers ~50% of current mkt cap</t>
  </si>
  <si>
    <t xml:space="preserve">PEER COMPARISON — Payments &amp; Fintech</t>
  </si>
  <si>
    <t xml:space="preserve">FY2025 Actuals / Latest Available Data (as of April 1, 2026)</t>
  </si>
  <si>
    <t xml:space="preserve">Price</t>
  </si>
  <si>
    <t xml:space="preserve">Mkt Cap</t>
  </si>
  <si>
    <t xml:space="preserve">P/E</t>
  </si>
  <si>
    <t xml:space="preserve">EV/EBITDA</t>
  </si>
  <si>
    <t xml:space="preserve">EV/Sales</t>
  </si>
  <si>
    <t xml:space="preserve">EBITDA Mgn</t>
  </si>
  <si>
    <t xml:space="preserve">FCF Mgn</t>
  </si>
  <si>
    <t xml:space="preserve">FOUR</t>
  </si>
  <si>
    <t xml:space="preserve">Shift4 Payments</t>
  </si>
  <si>
    <t xml:space="preserve">39.4x</t>
  </si>
  <si>
    <t xml:space="preserve">10.1x</t>
  </si>
  <si>
    <t xml:space="preserve">1.9x</t>
  </si>
  <si>
    <t xml:space="preserve">12.2%</t>
  </si>
  <si>
    <t xml:space="preserve">18.7%</t>
  </si>
  <si>
    <t xml:space="preserve">11.9%</t>
  </si>
  <si>
    <t xml:space="preserve">TOST</t>
  </si>
  <si>
    <t xml:space="preserve">Toast</t>
  </si>
  <si>
    <t xml:space="preserve">$26.07</t>
  </si>
  <si>
    <t xml:space="preserve">$15.4B</t>
  </si>
  <si>
    <t xml:space="preserve">46.6x</t>
  </si>
  <si>
    <t xml:space="preserve">53.2x</t>
  </si>
  <si>
    <t xml:space="preserve">3.1x</t>
  </si>
  <si>
    <t xml:space="preserve">2.9%</t>
  </si>
  <si>
    <t xml:space="preserve">5.8%</t>
  </si>
  <si>
    <t xml:space="preserve">9.9%</t>
  </si>
  <si>
    <t xml:space="preserve">GPN</t>
  </si>
  <si>
    <t xml:space="preserve">Global Payments</t>
  </si>
  <si>
    <t xml:space="preserve">$65.36</t>
  </si>
  <si>
    <t xml:space="preserve">$15.5B</t>
  </si>
  <si>
    <t xml:space="preserve">14.8x</t>
  </si>
  <si>
    <t xml:space="preserve">9.3x</t>
  </si>
  <si>
    <t xml:space="preserve">4.0x</t>
  </si>
  <si>
    <t xml:space="preserve">11.1%</t>
  </si>
  <si>
    <t xml:space="preserve">42.8%</t>
  </si>
  <si>
    <t xml:space="preserve">26.5%</t>
  </si>
  <si>
    <t xml:space="preserve">FIS</t>
  </si>
  <si>
    <t xml:space="preserve">Fidelity National</t>
  </si>
  <si>
    <t xml:space="preserve">$45.17</t>
  </si>
  <si>
    <t xml:space="preserve">$23.4B</t>
  </si>
  <si>
    <t xml:space="preserve">61.9x</t>
  </si>
  <si>
    <t xml:space="preserve">12.4x</t>
  </si>
  <si>
    <t xml:space="preserve">4.2x</t>
  </si>
  <si>
    <t xml:space="preserve">7.2%</t>
  </si>
  <si>
    <t xml:space="preserve">33.9%</t>
  </si>
  <si>
    <t xml:space="preserve">23.0%</t>
  </si>
  <si>
    <t xml:space="preserve">FISV</t>
  </si>
  <si>
    <t xml:space="preserve">Fiserv</t>
  </si>
  <si>
    <t xml:space="preserve">$55.45</t>
  </si>
  <si>
    <t xml:space="preserve">$29.8B</t>
  </si>
  <si>
    <t xml:space="preserve">8.6x</t>
  </si>
  <si>
    <t xml:space="preserve">7.1x</t>
  </si>
  <si>
    <t xml:space="preserve">3.0x</t>
  </si>
  <si>
    <t xml:space="preserve">12.0%</t>
  </si>
  <si>
    <t xml:space="preserve">42.6%</t>
  </si>
  <si>
    <t xml:space="preserve">20.3%</t>
  </si>
  <si>
    <t xml:space="preserve">PYPL</t>
  </si>
  <si>
    <t xml:space="preserve">PayPal</t>
  </si>
  <si>
    <t xml:space="preserve">$44.63</t>
  </si>
  <si>
    <t xml:space="preserve">$41.8B</t>
  </si>
  <si>
    <t xml:space="preserve">8.3x</t>
  </si>
  <si>
    <t xml:space="preserve">7.6x</t>
  </si>
  <si>
    <t xml:space="preserve">1.6x</t>
  </si>
  <si>
    <t xml:space="preserve">10.4%</t>
  </si>
  <si>
    <t xml:space="preserve">21.2%</t>
  </si>
  <si>
    <t xml:space="preserve">16.8%</t>
  </si>
  <si>
    <t xml:space="preserve">ADYEN</t>
  </si>
  <si>
    <t xml:space="preserve">Adyen</t>
  </si>
  <si>
    <t xml:space="preserve">€863.70</t>
  </si>
  <si>
    <t xml:space="preserve">€27.2B</t>
  </si>
  <si>
    <t xml:space="preserve">25.7x</t>
  </si>
  <si>
    <t xml:space="preserve">N/A</t>
  </si>
  <si>
    <t xml:space="preserve">KEY INSIGHT</t>
  </si>
  <si>
    <t xml:space="preserve">FOUR trades at the LOWEST EV/Sales (1.9x) among all peers despite having the HIGHEST revenue growth (29% GRLNF). FCF yield of 12.2% is the highest in the group. On FY26 guide, FOUR trades at just 6.0x EV/EBITDA vs. peer median of ~9-10x.</t>
  </si>
  <si>
    <t xml:space="preserve">FOUR ON FY26E GUIDE (NOT FY25 TRAILING)</t>
  </si>
  <si>
    <t xml:space="preserve">EV/EBITDA (FY26 Guide $1,190M)</t>
  </si>
  <si>
    <t xml:space="preserve">EV/EBITDA (User Est $1,307M)</t>
  </si>
  <si>
    <t xml:space="preserve">5.5x</t>
  </si>
  <si>
    <t xml:space="preserve">FLOAT ANALYSIS &amp; SHORT SQUEEZE MECHANICS</t>
  </si>
  <si>
    <t xml:space="preserve">Shift4 Payments (FOUR) — Real Float Calculation</t>
  </si>
  <si>
    <t xml:space="preserve">OUTSTANDING SHARES</t>
  </si>
  <si>
    <t xml:space="preserve">Shares (M)</t>
  </si>
  <si>
    <t xml:space="preserve">Outstanding Shares (end Q4 '25)</t>
  </si>
  <si>
    <t xml:space="preserve">(-) Retired Jan 1 - Feb 26, 2026</t>
  </si>
  <si>
    <t xml:space="preserve">Adjusted Shares</t>
  </si>
  <si>
    <t xml:space="preserve">HIGH-CONVICTION LOCKED-UP HOLDERS</t>
  </si>
  <si>
    <t xml:space="preserve">Holder</t>
  </si>
  <si>
    <t xml:space="preserve">Jared Isaacman (Founder/CEO)</t>
  </si>
  <si>
    <t xml:space="preserve">Wasatch Advisors</t>
  </si>
  <si>
    <t xml:space="preserve">Durable Capital Partners</t>
  </si>
  <si>
    <t xml:space="preserve">Darlington Partners</t>
  </si>
  <si>
    <t xml:space="preserve">Ensign Peak Advisors</t>
  </si>
  <si>
    <t xml:space="preserve">Total Locked Up</t>
  </si>
  <si>
    <t xml:space="preserve">All holders increased positions last quarter (+2.3M combined)</t>
  </si>
  <si>
    <t xml:space="preserve">REAL FLOAT CALCULATION</t>
  </si>
  <si>
    <t xml:space="preserve">Adjusted Shares Outstanding</t>
  </si>
  <si>
    <t xml:space="preserve">(-) Locked-Up Shares</t>
  </si>
  <si>
    <t xml:space="preserve">Real Float</t>
  </si>
  <si>
    <t xml:space="preserve">Short Interest</t>
  </si>
  <si>
    <t xml:space="preserve">SI % of Real Float</t>
  </si>
  <si>
    <t xml:space="preserve">POST-REMAINING $500M BUYBACK</t>
  </si>
  <si>
    <t xml:space="preserve">Additional Shares Retired (~)</t>
  </si>
  <si>
    <t xml:space="preserve">Post-Buyback Real Float</t>
  </si>
  <si>
    <t xml:space="preserve">SI % of Post-Buyback Float</t>
  </si>
  <si>
    <t xml:space="preserve">Short squeeze is asymmetric upside optionality, NOT a core thesis pillar. Core thesis = fundamental compounder with structural equity convexity.</t>
  </si>
</sst>
</file>

<file path=xl/styles.xml><?xml version="1.0" encoding="utf-8"?>
<styleSheet xmlns="http://schemas.openxmlformats.org/spreadsheetml/2006/main">
  <numFmts count="10">
    <numFmt numFmtId="164" formatCode="General"/>
    <numFmt numFmtId="165" formatCode="\$#,##0"/>
    <numFmt numFmtId="166" formatCode="0.0\x"/>
    <numFmt numFmtId="167" formatCode="\$#,##0.00"/>
    <numFmt numFmtId="168" formatCode="0.0%"/>
    <numFmt numFmtId="169" formatCode="\$#,##0;&quot;($&quot;#,##0\);\-"/>
    <numFmt numFmtId="170" formatCode="0"/>
    <numFmt numFmtId="171" formatCode="0.00\x"/>
    <numFmt numFmtId="172" formatCode="0.0"/>
    <numFmt numFmtId="173" formatCode="0\x"/>
  </numFmts>
  <fonts count="29">
    <font>
      <sz val="11"/>
      <color theme="1"/>
      <name val="Calibri"/>
      <family val="2"/>
      <charset val="1"/>
    </font>
    <font>
      <sz val="10"/>
      <name val="Arial"/>
      <family val="0"/>
    </font>
    <font>
      <sz val="10"/>
      <name val="Arial"/>
      <family val="0"/>
    </font>
    <font>
      <sz val="10"/>
      <name val="Arial"/>
      <family val="0"/>
    </font>
    <font>
      <b val="true"/>
      <sz val="16"/>
      <color rgb="FF1B474D"/>
      <name val="Calibri"/>
      <family val="0"/>
      <charset val="1"/>
    </font>
    <font>
      <i val="true"/>
      <sz val="10"/>
      <color rgb="FF888888"/>
      <name val="Calibri"/>
      <family val="0"/>
      <charset val="1"/>
    </font>
    <font>
      <b val="true"/>
      <sz val="11"/>
      <color rgb="FF1B474D"/>
      <name val="Calibri"/>
      <family val="0"/>
      <charset val="1"/>
    </font>
    <font>
      <b val="true"/>
      <sz val="10"/>
      <color rgb="FF000000"/>
      <name val="Calibri"/>
      <family val="0"/>
      <charset val="1"/>
    </font>
    <font>
      <sz val="10"/>
      <color rgb="FF0000FF"/>
      <name val="Calibri"/>
      <family val="0"/>
      <charset val="1"/>
    </font>
    <font>
      <b val="true"/>
      <sz val="10"/>
      <color rgb="FFFFFFFF"/>
      <name val="Calibri"/>
      <family val="0"/>
      <charset val="1"/>
    </font>
    <font>
      <sz val="10"/>
      <color rgb="FF000000"/>
      <name val="Calibri"/>
      <family val="0"/>
      <charset val="1"/>
    </font>
    <font>
      <b val="true"/>
      <sz val="10"/>
      <color rgb="FF0000FF"/>
      <name val="Calibri"/>
      <family val="0"/>
      <charset val="1"/>
    </font>
    <font>
      <sz val="9"/>
      <color rgb="FF000000"/>
      <name val="Calibri"/>
      <family val="0"/>
      <charset val="1"/>
    </font>
    <font>
      <b val="true"/>
      <i val="true"/>
      <sz val="9"/>
      <color rgb="FF000000"/>
      <name val="Calibri"/>
      <family val="0"/>
      <charset val="1"/>
    </font>
    <font>
      <u val="single"/>
      <sz val="10"/>
      <color rgb="FF0000FF"/>
      <name val="Calibri"/>
      <family val="0"/>
      <charset val="1"/>
    </font>
    <font>
      <sz val="9"/>
      <color rgb="FF666666"/>
      <name val="Calibri"/>
      <family val="0"/>
      <charset val="1"/>
    </font>
    <font>
      <i val="true"/>
      <sz val="8"/>
      <color rgb="FF888888"/>
      <name val="Calibri"/>
      <family val="0"/>
      <charset val="1"/>
    </font>
    <font>
      <i val="true"/>
      <u val="single"/>
      <sz val="8"/>
      <color rgb="FF0000FF"/>
      <name val="Calibri"/>
      <family val="0"/>
      <charset val="1"/>
    </font>
    <font>
      <b val="true"/>
      <sz val="14"/>
      <color rgb="FF1B474D"/>
      <name val="Calibri"/>
      <family val="0"/>
      <charset val="1"/>
    </font>
    <font>
      <b val="true"/>
      <sz val="11"/>
      <color rgb="FF20808D"/>
      <name val="Calibri"/>
      <family val="0"/>
      <charset val="1"/>
    </font>
    <font>
      <i val="true"/>
      <sz val="9"/>
      <color rgb="FF888888"/>
      <name val="Calibri"/>
      <family val="0"/>
      <charset val="1"/>
    </font>
    <font>
      <b val="true"/>
      <sz val="9"/>
      <name val="Calibri"/>
      <family val="0"/>
      <charset val="1"/>
    </font>
    <font>
      <sz val="9"/>
      <color rgb="FF0000FF"/>
      <name val="Calibri"/>
      <family val="0"/>
      <charset val="1"/>
    </font>
    <font>
      <sz val="9"/>
      <name val="Calibri"/>
      <family val="0"/>
      <charset val="1"/>
    </font>
    <font>
      <sz val="10"/>
      <color rgb="FF008000"/>
      <name val="Calibri"/>
      <family val="0"/>
      <charset val="1"/>
    </font>
    <font>
      <sz val="9"/>
      <color rgb="FF444444"/>
      <name val="Calibri"/>
      <family val="0"/>
      <charset val="1"/>
    </font>
    <font>
      <b val="true"/>
      <i val="true"/>
      <sz val="10"/>
      <color rgb="FFA84B2F"/>
      <name val="Calibri"/>
      <family val="0"/>
      <charset val="1"/>
    </font>
    <font>
      <i val="true"/>
      <sz val="9"/>
      <color rgb="FF666666"/>
      <name val="Calibri"/>
      <family val="0"/>
      <charset val="1"/>
    </font>
    <font>
      <i val="true"/>
      <sz val="10"/>
      <color rgb="FFA84B2F"/>
      <name val="Calibri"/>
      <family val="0"/>
      <charset val="1"/>
    </font>
  </fonts>
  <fills count="12">
    <fill>
      <patternFill patternType="none"/>
    </fill>
    <fill>
      <patternFill patternType="gray125"/>
    </fill>
    <fill>
      <patternFill patternType="solid">
        <fgColor rgb="FFE8F4F8"/>
        <bgColor rgb="FFEBF3FA"/>
      </patternFill>
    </fill>
    <fill>
      <patternFill patternType="solid">
        <fgColor rgb="FFFFFF00"/>
        <bgColor rgb="FFFFFF00"/>
      </patternFill>
    </fill>
    <fill>
      <patternFill patternType="solid">
        <fgColor rgb="FF1B474D"/>
        <bgColor rgb="FF1A3C6B"/>
      </patternFill>
    </fill>
    <fill>
      <patternFill patternType="solid">
        <fgColor rgb="FFE8F4E8"/>
        <bgColor rgb="FFE8F4F8"/>
      </patternFill>
    </fill>
    <fill>
      <patternFill patternType="solid">
        <fgColor rgb="FF1A3C6B"/>
        <bgColor rgb="FF1B474D"/>
      </patternFill>
    </fill>
    <fill>
      <patternFill patternType="solid">
        <fgColor rgb="FFEBF3FA"/>
        <bgColor rgb="FFE8F4F8"/>
      </patternFill>
    </fill>
    <fill>
      <patternFill patternType="solid">
        <fgColor rgb="FFFFFFC0"/>
        <bgColor rgb="FFFFFF99"/>
      </patternFill>
    </fill>
    <fill>
      <patternFill patternType="solid">
        <fgColor rgb="FFD4EDDA"/>
        <bgColor rgb="FFE8F4E8"/>
      </patternFill>
    </fill>
    <fill>
      <patternFill patternType="solid">
        <fgColor rgb="FFFFCCCC"/>
        <bgColor rgb="FFCCCCCC"/>
      </patternFill>
    </fill>
    <fill>
      <patternFill patternType="solid">
        <fgColor rgb="FFFF9999"/>
        <bgColor rgb="FFFF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bottom style="medium">
        <color rgb="FF1B474D"/>
      </bottom>
      <diagonal/>
    </border>
    <border diagonalUp="false" diagonalDown="false">
      <left/>
      <right/>
      <top/>
      <bottom style="double">
        <color rgb="FF1B47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5" fontId="8" fillId="5" borderId="1" xfId="0" applyFont="true" applyBorder="true" applyAlignment="true" applyProtection="false">
      <alignment horizontal="right" vertical="center" textRotation="0" wrapText="fals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65" fontId="10" fillId="5" borderId="1" xfId="0" applyFont="true" applyBorder="true" applyAlignment="true" applyProtection="false">
      <alignment horizontal="right" vertical="center" textRotation="0" wrapText="false" indent="0" shrinkToFit="false"/>
      <protection locked="true" hidden="false"/>
    </xf>
    <xf numFmtId="167" fontId="10" fillId="5" borderId="1" xfId="0" applyFont="true" applyBorder="true" applyAlignment="true" applyProtection="false">
      <alignment horizontal="right" vertical="center" textRotation="0" wrapText="false" indent="0" shrinkToFit="false"/>
      <protection locked="true" hidden="false"/>
    </xf>
    <xf numFmtId="166" fontId="10" fillId="5" borderId="1" xfId="0" applyFont="true" applyBorder="true" applyAlignment="true" applyProtection="false">
      <alignment horizontal="right" vertical="center" textRotation="0" wrapText="false" indent="0" shrinkToFit="false"/>
      <protection locked="true" hidden="false"/>
    </xf>
    <xf numFmtId="168" fontId="10" fillId="5" borderId="1" xfId="0" applyFont="true" applyBorder="true" applyAlignment="true" applyProtection="false">
      <alignment horizontal="right"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false" indent="1" shrinkToFit="false"/>
      <protection locked="true" hidden="false"/>
    </xf>
    <xf numFmtId="164" fontId="12" fillId="0" borderId="0" xfId="0" applyFont="true" applyBorder="true" applyAlignment="true" applyProtection="false">
      <alignment horizontal="left" vertical="center" textRotation="0" wrapText="true" indent="1" shrinkToFit="false"/>
      <protection locked="true" hidden="false"/>
    </xf>
    <xf numFmtId="164" fontId="12" fillId="7" borderId="0" xfId="0" applyFont="true" applyBorder="true" applyAlignment="true" applyProtection="false">
      <alignment horizontal="left" vertical="center" textRotation="0" wrapText="true" indent="1" shrinkToFit="false"/>
      <protection locked="true" hidden="false"/>
    </xf>
    <xf numFmtId="164" fontId="13" fillId="8" borderId="0" xfId="0" applyFont="true" applyBorder="true" applyAlignment="true" applyProtection="false">
      <alignment horizontal="left" vertical="center" textRotation="0" wrapText="true" indent="1"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5" fontId="8" fillId="3" borderId="1" xfId="0" applyFont="true" applyBorder="true" applyAlignment="true" applyProtection="false">
      <alignment horizontal="right" vertical="center" textRotation="0" wrapText="false" indent="0" shrinkToFit="false"/>
      <protection locked="true" hidden="false"/>
    </xf>
    <xf numFmtId="164" fontId="10" fillId="0" borderId="1" xfId="0" applyFont="true" applyBorder="true" applyAlignment="true" applyProtection="false">
      <alignment horizontal="right" vertical="center" textRotation="0" wrapText="false" indent="0" shrinkToFit="false"/>
      <protection locked="true" hidden="false"/>
    </xf>
    <xf numFmtId="164" fontId="20" fillId="0" borderId="1" xfId="0" applyFont="true" applyBorder="true" applyAlignment="true" applyProtection="false">
      <alignment horizontal="left" vertical="center" textRotation="0" wrapText="false" indent="0" shrinkToFit="false"/>
      <protection locked="true" hidden="false"/>
    </xf>
    <xf numFmtId="165" fontId="20" fillId="0" borderId="1" xfId="0" applyFont="true" applyBorder="true" applyAlignment="true" applyProtection="false">
      <alignment horizontal="right" vertical="center" textRotation="0" wrapText="fals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70" fontId="8" fillId="0" borderId="1" xfId="0" applyFont="true" applyBorder="true" applyAlignment="true" applyProtection="false">
      <alignment horizontal="right"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general" vertical="bottom" textRotation="0" wrapText="false" indent="0" shrinkToFit="false"/>
      <protection locked="true" hidden="false"/>
    </xf>
    <xf numFmtId="165" fontId="24" fillId="0" borderId="1" xfId="0" applyFont="true" applyBorder="true" applyAlignment="true" applyProtection="false">
      <alignment horizontal="right" vertical="center"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71" fontId="7" fillId="2" borderId="1" xfId="0" applyFont="true" applyBorder="true" applyAlignment="true" applyProtection="false">
      <alignment horizontal="right" vertical="center"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right" vertical="center" textRotation="0" wrapText="false" indent="0" shrinkToFit="false"/>
      <protection locked="true" hidden="false"/>
    </xf>
    <xf numFmtId="172"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72" fontId="8" fillId="3" borderId="1" xfId="0" applyFont="true" applyBorder="true" applyAlignment="true" applyProtection="false">
      <alignment horizontal="right" vertical="center" textRotation="0" wrapText="false" indent="0" shrinkToFit="false"/>
      <protection locked="true" hidden="false"/>
    </xf>
    <xf numFmtId="172" fontId="10" fillId="0" borderId="1" xfId="0" applyFont="true" applyBorder="true" applyAlignment="true" applyProtection="false">
      <alignment horizontal="right" vertical="center" textRotation="0" wrapText="false" indent="0" shrinkToFit="false"/>
      <protection locked="true" hidden="false"/>
    </xf>
    <xf numFmtId="172" fontId="7" fillId="2"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7" fontId="7" fillId="2" borderId="1" xfId="0" applyFont="true" applyBorder="true" applyAlignment="true" applyProtection="false">
      <alignment horizontal="right" vertical="center"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4" fontId="27" fillId="0" borderId="0"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center" vertical="center" textRotation="0" wrapText="false" indent="0" shrinkToFit="false"/>
      <protection locked="true" hidden="false"/>
    </xf>
    <xf numFmtId="168" fontId="8" fillId="3"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right" vertical="center" textRotation="0" wrapText="false" indent="0" shrinkToFit="false"/>
      <protection locked="true" hidden="false"/>
    </xf>
    <xf numFmtId="164" fontId="11" fillId="9" borderId="1" xfId="0" applyFont="true" applyBorder="true" applyAlignment="true" applyProtection="false">
      <alignment horizontal="left"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72" fontId="24" fillId="0" borderId="1" xfId="0" applyFont="true" applyBorder="true" applyAlignment="true" applyProtection="false">
      <alignment horizontal="right" vertical="center" textRotation="0" wrapText="false" indent="0" shrinkToFit="false"/>
      <protection locked="true" hidden="false"/>
    </xf>
    <xf numFmtId="168" fontId="7" fillId="10" borderId="1" xfId="0" applyFont="true" applyBorder="true" applyAlignment="true" applyProtection="false">
      <alignment horizontal="right" vertical="center" textRotation="0" wrapText="false" indent="0" shrinkToFit="false"/>
      <protection locked="true" hidden="false"/>
    </xf>
    <xf numFmtId="168" fontId="7" fillId="11" borderId="1" xfId="0" applyFont="true" applyBorder="true" applyAlignment="true" applyProtection="false">
      <alignment horizontal="right" vertical="center" textRotation="0" wrapText="false" indent="0" shrinkToFit="false"/>
      <protection locked="true" hidden="false"/>
    </xf>
    <xf numFmtId="164" fontId="26"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CCCCCC"/>
      <rgbColor rgb="FF888888"/>
      <rgbColor rgb="FF9999FF"/>
      <rgbColor rgb="FFA13544"/>
      <rgbColor rgb="FFFFFFC0"/>
      <rgbColor rgb="FFE8F4F8"/>
      <rgbColor rgb="FF660066"/>
      <rgbColor rgb="FFFF8080"/>
      <rgbColor rgb="FF006494"/>
      <rgbColor rgb="FFEBF3FA"/>
      <rgbColor rgb="FF000080"/>
      <rgbColor rgb="FFFF00FF"/>
      <rgbColor rgb="FFFFFF00"/>
      <rgbColor rgb="FF00FFFF"/>
      <rgbColor rgb="FF800080"/>
      <rgbColor rgb="FF800000"/>
      <rgbColor rgb="FF008080"/>
      <rgbColor rgb="FF0000FF"/>
      <rgbColor rgb="FF00CCFF"/>
      <rgbColor rgb="FFE8F4E8"/>
      <rgbColor rgb="FFD4EDDA"/>
      <rgbColor rgb="FFFFFF99"/>
      <rgbColor rgb="FF99CCFF"/>
      <rgbColor rgb="FFFF9999"/>
      <rgbColor rgb="FFCC99FF"/>
      <rgbColor rgb="FFFFCCCC"/>
      <rgbColor rgb="FF3366FF"/>
      <rgbColor rgb="FF33CCCC"/>
      <rgbColor rgb="FF99CC00"/>
      <rgbColor rgb="FFFFCC00"/>
      <rgbColor rgb="FFFF9900"/>
      <rgbColor rgb="FFFF6600"/>
      <rgbColor rgb="FF666666"/>
      <rgbColor rgb="FF969696"/>
      <rgbColor rgb="FF1A3C6B"/>
      <rgbColor rgb="FF437A22"/>
      <rgbColor rgb="FF003300"/>
      <rgbColor rgb="FF333300"/>
      <rgbColor rgb="FFA84B2F"/>
      <rgbColor rgb="FF7A39BB"/>
      <rgbColor rgb="FF1B474D"/>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erplexity.ai/finance/FOUR"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perplexity.ai/finance/FOUR"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perplexity.ai/finance/FOUR"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perplexity.ai/finance/FOUR"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perplexity.ai/finance/FOUR"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perplexity.ai/finance/FOU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perplexity.ai/finance/FOU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74D"/>
    <pageSetUpPr fitToPage="false"/>
  </sheetPr>
  <dimension ref="B2:J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8" min="3" style="1" width="16"/>
    <col collapsed="false" customWidth="true" hidden="false" outlineLevel="0" max="10" min="9" style="1" width="14"/>
  </cols>
  <sheetData>
    <row r="2" customFormat="false" ht="19.5" hidden="false" customHeight="true" outlineLevel="0" collapsed="false">
      <c r="B2" s="2" t="s">
        <v>0</v>
      </c>
      <c r="C2" s="2"/>
      <c r="D2" s="2"/>
      <c r="E2" s="2"/>
      <c r="F2" s="2"/>
      <c r="G2" s="2"/>
      <c r="H2" s="2"/>
    </row>
    <row r="3" customFormat="false" ht="15" hidden="false" customHeight="true" outlineLevel="0" collapsed="false">
      <c r="B3" s="3" t="s">
        <v>1</v>
      </c>
      <c r="C3" s="3"/>
      <c r="D3" s="3"/>
      <c r="E3" s="3"/>
      <c r="F3" s="3"/>
      <c r="G3" s="3"/>
      <c r="H3" s="3"/>
    </row>
    <row r="5" customFormat="false" ht="15" hidden="false" customHeight="true" outlineLevel="0" collapsed="false">
      <c r="B5" s="4" t="s">
        <v>2</v>
      </c>
      <c r="C5" s="4"/>
      <c r="D5" s="4"/>
      <c r="F5" s="4" t="s">
        <v>3</v>
      </c>
      <c r="G5" s="4"/>
      <c r="H5" s="4"/>
    </row>
    <row r="6" customFormat="false" ht="15" hidden="false" customHeight="true" outlineLevel="0" collapsed="false">
      <c r="B6" s="5" t="s">
        <v>4</v>
      </c>
      <c r="C6" s="6" t="s">
        <v>5</v>
      </c>
      <c r="F6" s="5" t="s">
        <v>6</v>
      </c>
      <c r="G6" s="7" t="s">
        <v>7</v>
      </c>
    </row>
    <row r="7" customFormat="false" ht="15" hidden="false" customHeight="true" outlineLevel="0" collapsed="false">
      <c r="B7" s="5" t="s">
        <v>8</v>
      </c>
      <c r="C7" s="6" t="s">
        <v>9</v>
      </c>
      <c r="F7" s="5" t="s">
        <v>10</v>
      </c>
      <c r="G7" s="7" t="s">
        <v>11</v>
      </c>
    </row>
    <row r="8" customFormat="false" ht="15" hidden="false" customHeight="true" outlineLevel="0" collapsed="false">
      <c r="B8" s="5" t="s">
        <v>12</v>
      </c>
      <c r="C8" s="6" t="s">
        <v>13</v>
      </c>
      <c r="F8" s="5" t="s">
        <v>14</v>
      </c>
      <c r="G8" s="8" t="s">
        <v>15</v>
      </c>
    </row>
    <row r="9" customFormat="false" ht="15" hidden="false" customHeight="true" outlineLevel="0" collapsed="false">
      <c r="B9" s="5" t="s">
        <v>16</v>
      </c>
      <c r="C9" s="6" t="s">
        <v>17</v>
      </c>
      <c r="F9" s="5" t="s">
        <v>18</v>
      </c>
      <c r="G9" s="7" t="s">
        <v>19</v>
      </c>
    </row>
    <row r="10" customFormat="false" ht="15" hidden="false" customHeight="true" outlineLevel="0" collapsed="false">
      <c r="B10" s="5" t="s">
        <v>20</v>
      </c>
      <c r="C10" s="6" t="s">
        <v>21</v>
      </c>
      <c r="F10" s="5" t="s">
        <v>22</v>
      </c>
      <c r="G10" s="8" t="s">
        <v>23</v>
      </c>
    </row>
    <row r="11" customFormat="false" ht="15" hidden="false" customHeight="true" outlineLevel="0" collapsed="false">
      <c r="B11" s="5" t="s">
        <v>24</v>
      </c>
      <c r="C11" s="6" t="s">
        <v>25</v>
      </c>
      <c r="F11" s="5" t="s">
        <v>26</v>
      </c>
      <c r="G11" s="8" t="s">
        <v>27</v>
      </c>
    </row>
    <row r="12" customFormat="false" ht="15" hidden="false" customHeight="true" outlineLevel="0" collapsed="false">
      <c r="B12" s="5" t="s">
        <v>28</v>
      </c>
      <c r="C12" s="6" t="s">
        <v>29</v>
      </c>
      <c r="F12" s="5" t="s">
        <v>30</v>
      </c>
      <c r="G12" s="8" t="s">
        <v>31</v>
      </c>
    </row>
    <row r="15" customFormat="false" ht="15" hidden="false" customHeight="true" outlineLevel="0" collapsed="false">
      <c r="B15" s="4" t="s">
        <v>32</v>
      </c>
      <c r="C15" s="4"/>
      <c r="D15" s="4"/>
      <c r="E15" s="4"/>
      <c r="F15" s="4"/>
      <c r="G15" s="4"/>
      <c r="H15" s="4"/>
    </row>
    <row r="16" customFormat="false" ht="15" hidden="false" customHeight="true" outlineLevel="0" collapsed="false">
      <c r="B16" s="9" t="s">
        <v>33</v>
      </c>
      <c r="C16" s="9" t="s">
        <v>34</v>
      </c>
      <c r="D16" s="9" t="s">
        <v>35</v>
      </c>
      <c r="E16" s="9" t="s">
        <v>36</v>
      </c>
      <c r="F16" s="9" t="s">
        <v>37</v>
      </c>
      <c r="G16" s="9" t="s">
        <v>38</v>
      </c>
      <c r="H16" s="9" t="s">
        <v>39</v>
      </c>
      <c r="I16" s="9" t="s">
        <v>40</v>
      </c>
      <c r="J16" s="9" t="s">
        <v>41</v>
      </c>
    </row>
    <row r="17" customFormat="false" ht="15" hidden="false" customHeight="true" outlineLevel="0" collapsed="false">
      <c r="B17" s="5" t="s">
        <v>42</v>
      </c>
      <c r="C17" s="10" t="n">
        <v>1850</v>
      </c>
      <c r="D17" s="11" t="n">
        <v>8</v>
      </c>
      <c r="E17" s="12" t="n">
        <f aca="false">C17*D17</f>
        <v>14800</v>
      </c>
      <c r="F17" s="10" t="n">
        <v>2000</v>
      </c>
      <c r="G17" s="12" t="n">
        <f aca="false">E17-F17</f>
        <v>12800</v>
      </c>
      <c r="H17" s="13" t="n">
        <f aca="false">G17/63</f>
        <v>203.174603174603</v>
      </c>
      <c r="I17" s="14" t="n">
        <f aca="false">H17/42.56</f>
        <v>4.77383936030553</v>
      </c>
      <c r="J17" s="15" t="n">
        <f aca="false">(I17)^(1/4.5)-1</f>
        <v>0.415335862921385</v>
      </c>
    </row>
    <row r="18" customFormat="false" ht="15" hidden="false" customHeight="true" outlineLevel="0" collapsed="false">
      <c r="B18" s="16" t="s">
        <v>43</v>
      </c>
      <c r="C18" s="17" t="n">
        <v>1850</v>
      </c>
      <c r="D18" s="18" t="n">
        <v>10</v>
      </c>
      <c r="E18" s="19" t="n">
        <f aca="false">C18*D18</f>
        <v>18500</v>
      </c>
      <c r="F18" s="17" t="n">
        <v>2000</v>
      </c>
      <c r="G18" s="19" t="n">
        <f aca="false">E18-F18</f>
        <v>16500</v>
      </c>
      <c r="H18" s="20" t="n">
        <f aca="false">G18/63</f>
        <v>261.904761904762</v>
      </c>
      <c r="I18" s="21" t="n">
        <f aca="false">H18/42.56</f>
        <v>6.15377730039384</v>
      </c>
      <c r="J18" s="22" t="n">
        <f aca="false">(I18)^(1/4.5)-1</f>
        <v>0.497493131126397</v>
      </c>
    </row>
    <row r="19" customFormat="false" ht="15" hidden="false" customHeight="true" outlineLevel="0" collapsed="false">
      <c r="B19" s="5" t="s">
        <v>44</v>
      </c>
      <c r="C19" s="10" t="n">
        <v>1850</v>
      </c>
      <c r="D19" s="11" t="n">
        <v>15</v>
      </c>
      <c r="E19" s="12" t="n">
        <f aca="false">C19*D19</f>
        <v>27750</v>
      </c>
      <c r="F19" s="10" t="n">
        <v>2000</v>
      </c>
      <c r="G19" s="12" t="n">
        <f aca="false">E19-F19</f>
        <v>25750</v>
      </c>
      <c r="H19" s="13" t="n">
        <f aca="false">G19/63</f>
        <v>408.730158730159</v>
      </c>
      <c r="I19" s="14" t="n">
        <f aca="false">H19/42.56</f>
        <v>9.60362215061463</v>
      </c>
      <c r="J19" s="15" t="n">
        <f aca="false">(I19)^(1/4.5)-1</f>
        <v>0.653175282353036</v>
      </c>
    </row>
    <row r="20" customFormat="false" ht="6" hidden="false" customHeight="true" outlineLevel="0" collapsed="false"/>
    <row r="21" customFormat="false" ht="18" hidden="false" customHeight="true" outlineLevel="0" collapsed="false">
      <c r="B21" s="23" t="s">
        <v>45</v>
      </c>
      <c r="C21" s="23"/>
      <c r="D21" s="23"/>
      <c r="E21" s="23"/>
      <c r="F21" s="23"/>
      <c r="G21" s="23"/>
      <c r="H21" s="23"/>
      <c r="I21" s="23"/>
      <c r="J21" s="23"/>
    </row>
    <row r="22" customFormat="false" ht="36" hidden="false" customHeight="true" outlineLevel="0" collapsed="false">
      <c r="B22" s="24" t="s">
        <v>46</v>
      </c>
      <c r="C22" s="24"/>
      <c r="D22" s="24"/>
      <c r="E22" s="24"/>
      <c r="F22" s="24"/>
      <c r="G22" s="24"/>
      <c r="H22" s="24"/>
      <c r="I22" s="24"/>
      <c r="J22" s="24"/>
    </row>
    <row r="23" customFormat="false" ht="42" hidden="false" customHeight="true" outlineLevel="0" collapsed="false">
      <c r="B23" s="25" t="s">
        <v>47</v>
      </c>
      <c r="C23" s="25"/>
      <c r="D23" s="25"/>
      <c r="E23" s="25"/>
      <c r="F23" s="25"/>
      <c r="G23" s="25"/>
      <c r="H23" s="25"/>
      <c r="I23" s="25"/>
      <c r="J23" s="25"/>
    </row>
    <row r="24" customFormat="false" ht="42" hidden="false" customHeight="true" outlineLevel="0" collapsed="false">
      <c r="B24" s="24" t="s">
        <v>48</v>
      </c>
      <c r="C24" s="24"/>
      <c r="D24" s="24"/>
      <c r="E24" s="24"/>
      <c r="F24" s="24"/>
      <c r="G24" s="24"/>
      <c r="H24" s="24"/>
      <c r="I24" s="24"/>
      <c r="J24" s="24"/>
    </row>
    <row r="25" customFormat="false" ht="36" hidden="false" customHeight="true" outlineLevel="0" collapsed="false">
      <c r="B25" s="26" t="s">
        <v>49</v>
      </c>
      <c r="C25" s="26"/>
      <c r="D25" s="26"/>
      <c r="E25" s="26"/>
      <c r="F25" s="26"/>
      <c r="G25" s="26"/>
      <c r="H25" s="26"/>
      <c r="I25" s="26"/>
      <c r="J25" s="26"/>
    </row>
    <row r="26" customFormat="false" ht="3.75" hidden="false" customHeight="true" outlineLevel="0" collapsed="false">
      <c r="C26" s="27"/>
      <c r="D26" s="27"/>
      <c r="E26" s="27"/>
      <c r="F26" s="27"/>
    </row>
    <row r="27" customFormat="false" ht="15" hidden="false" customHeight="true" outlineLevel="0" collapsed="false">
      <c r="C27" s="27"/>
      <c r="D27" s="27"/>
      <c r="E27" s="27"/>
      <c r="F27" s="27"/>
    </row>
    <row r="28" customFormat="false" ht="15" hidden="false" customHeight="true" outlineLevel="0" collapsed="false">
      <c r="C28" s="27"/>
      <c r="D28" s="27"/>
      <c r="E28" s="27"/>
      <c r="F28" s="27"/>
    </row>
    <row r="29" customFormat="false" ht="15" hidden="false" customHeight="false" outlineLevel="0" collapsed="false"/>
    <row r="30" customFormat="false" ht="15" hidden="false" customHeight="false" outlineLevel="0" collapsed="false"/>
    <row r="31" customFormat="false" ht="15" hidden="false" customHeight="true" outlineLevel="0" collapsed="false">
      <c r="B31" s="28" t="s">
        <v>50</v>
      </c>
    </row>
    <row r="32" customFormat="false" ht="15" hidden="false" customHeight="true" outlineLevel="0" collapsed="false">
      <c r="B32" s="29" t="s">
        <v>51</v>
      </c>
      <c r="C32" s="30" t="s">
        <v>52</v>
      </c>
    </row>
    <row r="33" customFormat="false" ht="15" hidden="false" customHeight="true" outlineLevel="0" collapsed="false">
      <c r="B33" s="29" t="s">
        <v>53</v>
      </c>
      <c r="C33" s="30" t="s">
        <v>54</v>
      </c>
    </row>
    <row r="34" customFormat="false" ht="15" hidden="false" customHeight="false" outlineLevel="0" collapsed="false">
      <c r="B34" s="29" t="s">
        <v>55</v>
      </c>
      <c r="C34" s="30" t="s">
        <v>56</v>
      </c>
    </row>
    <row r="35" customFormat="false" ht="15" hidden="false" customHeight="false" outlineLevel="0" collapsed="false">
      <c r="B35" s="29" t="s">
        <v>57</v>
      </c>
      <c r="C35" s="30" t="s">
        <v>58</v>
      </c>
    </row>
    <row r="36" customFormat="false" ht="15" hidden="false" customHeight="false" outlineLevel="0" collapsed="false">
      <c r="B36" s="29" t="s">
        <v>59</v>
      </c>
      <c r="C36" s="30" t="s">
        <v>60</v>
      </c>
    </row>
    <row r="37" customFormat="false" ht="15" hidden="false" customHeight="false" outlineLevel="0" collapsed="false">
      <c r="B37" s="29" t="s">
        <v>61</v>
      </c>
      <c r="C37" s="30" t="s">
        <v>62</v>
      </c>
    </row>
    <row r="38" customFormat="false" ht="15" hidden="false" customHeight="false" outlineLevel="0" collapsed="false"/>
    <row r="39" customFormat="false" ht="15" hidden="false" customHeight="false" outlineLevel="0" collapsed="false"/>
    <row r="40" customFormat="false" ht="15" hidden="false" customHeight="false" outlineLevel="0" collapsed="false">
      <c r="B40" s="31" t="s">
        <v>63</v>
      </c>
    </row>
    <row r="41" customFormat="false" ht="15" hidden="false" customHeight="false" outlineLevel="0" collapsed="false">
      <c r="B41" s="32" t="s">
        <v>64</v>
      </c>
    </row>
    <row r="42" customFormat="false" ht="15" hidden="false" customHeight="false" outlineLevel="0" collapsed="false">
      <c r="B42" s="31" t="s">
        <v>65</v>
      </c>
    </row>
  </sheetData>
  <mergeCells count="16">
    <mergeCell ref="B2:H2"/>
    <mergeCell ref="B3:H3"/>
    <mergeCell ref="B5:D5"/>
    <mergeCell ref="F5:H5"/>
    <mergeCell ref="B15:H15"/>
    <mergeCell ref="B21:J21"/>
    <mergeCell ref="B22:J22"/>
    <mergeCell ref="B23:J23"/>
    <mergeCell ref="C23:F23"/>
    <mergeCell ref="B24:J24"/>
    <mergeCell ref="C24:F24"/>
    <mergeCell ref="B25:J25"/>
    <mergeCell ref="C25:F25"/>
    <mergeCell ref="C26:F26"/>
    <mergeCell ref="C27:F27"/>
    <mergeCell ref="C28:F28"/>
  </mergeCells>
  <hyperlinks>
    <hyperlink ref="B23" location="'Operating Model'!B2" display="The cleaner starting point is enterprise value, not earnings per share. Build a forward EBITDA projection. Apply a conservative exit multiple. Then work backward to equity value, netting out net debt after accounting for FCF accumulation and share count reduction over the holding period. P/E ratios are a snapshot of today's interest burden — they don't capture the quiet migration of value from the debt tranche to the equity tranche that plays out over years as cash flows accrue. That migration isn't financial engineering. It's arithmetic."/>
    <hyperlink ref="B24" location="'Cash Waterfall'!B2" display="Three conditions are required for the framework to work: (1) a high-quality business that reliably compounds free cash flow, (2) a manageable and declining debt stack, and (3) an EV multiple that doesn't price in the compounding. When those three conditions are satisfied, the equity payoff profile becomes structurally asymmetric — downside anchored to business quality, upside amplified by the math of value migration. FOUR satisfies all three today at $42.56."/>
    <hyperlink ref="B25" location="'Buyback &amp; Shares'!B2" display="When the five questions get five affirmative answers, you're not looking at a leveraged bet. You're looking at something that resembles a small private buyout hiding in the public market at a discount. That's not a reason to be aggressive — it's a reason to be patient. The business compounds, FCF accrues, and the value follows. The weighing machine, given enough time, tends to respect the arithmetic."/>
    <hyperlink ref="B32" r:id="rId1" display="Operating Mode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808D"/>
    <pageSetUpPr fitToPage="false"/>
  </sheetPr>
  <dimension ref="B2: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11" min="3" style="1" width="14"/>
  </cols>
  <sheetData>
    <row r="2" customFormat="false" ht="17.25" hidden="false" customHeight="true" outlineLevel="0" collapsed="false">
      <c r="B2" s="33" t="s">
        <v>66</v>
      </c>
      <c r="C2" s="33"/>
      <c r="D2" s="33"/>
      <c r="E2" s="33"/>
      <c r="F2" s="33"/>
      <c r="G2" s="33"/>
      <c r="H2" s="33"/>
      <c r="I2" s="33"/>
      <c r="J2" s="33"/>
      <c r="K2" s="33"/>
    </row>
    <row r="3" customFormat="false" ht="15" hidden="false" customHeight="true" outlineLevel="0" collapsed="false">
      <c r="B3" s="3" t="s">
        <v>67</v>
      </c>
      <c r="C3" s="3"/>
      <c r="D3" s="3"/>
      <c r="E3" s="3"/>
      <c r="F3" s="3"/>
      <c r="G3" s="3"/>
      <c r="H3" s="3"/>
      <c r="I3" s="3"/>
      <c r="J3" s="3"/>
      <c r="K3" s="3"/>
    </row>
    <row r="5" customFormat="false" ht="15" hidden="false" customHeight="true" outlineLevel="0" collapsed="false">
      <c r="B5" s="34" t="s">
        <v>68</v>
      </c>
      <c r="C5" s="9" t="s">
        <v>69</v>
      </c>
      <c r="D5" s="9" t="s">
        <v>70</v>
      </c>
      <c r="E5" s="9" t="s">
        <v>71</v>
      </c>
      <c r="F5" s="9" t="s">
        <v>72</v>
      </c>
      <c r="G5" s="9" t="s">
        <v>73</v>
      </c>
      <c r="H5" s="9" t="s">
        <v>74</v>
      </c>
      <c r="I5" s="9" t="s">
        <v>75</v>
      </c>
      <c r="J5" s="9" t="s">
        <v>76</v>
      </c>
      <c r="K5" s="9" t="s">
        <v>77</v>
      </c>
    </row>
    <row r="6" customFormat="false" ht="15" hidden="false" customHeight="true" outlineLevel="0" collapsed="false">
      <c r="B6" s="35" t="s">
        <v>78</v>
      </c>
      <c r="C6" s="10" t="n">
        <v>1990</v>
      </c>
      <c r="D6" s="10" t="n">
        <v>2560</v>
      </c>
      <c r="E6" s="10" t="n">
        <v>3330</v>
      </c>
      <c r="F6" s="10" t="n">
        <v>4180</v>
      </c>
      <c r="G6" s="36" t="n">
        <v>5225</v>
      </c>
      <c r="H6" s="10" t="n">
        <v>6270</v>
      </c>
      <c r="I6" s="10" t="n">
        <v>7210</v>
      </c>
      <c r="J6" s="10" t="n">
        <v>8090</v>
      </c>
      <c r="K6" s="10" t="n">
        <v>8900</v>
      </c>
    </row>
    <row r="7" customFormat="false" ht="15" hidden="false" customHeight="true" outlineLevel="0" collapsed="false">
      <c r="B7" s="5" t="s">
        <v>79</v>
      </c>
      <c r="C7" s="37"/>
      <c r="D7" s="15" t="n">
        <f aca="false">(D6-C6)/C6</f>
        <v>0.28643216080402</v>
      </c>
      <c r="E7" s="15" t="n">
        <f aca="false">(E6-D6)/D6</f>
        <v>0.30078125</v>
      </c>
      <c r="F7" s="15" t="n">
        <f aca="false">(F6-E6)/E6</f>
        <v>0.255255255255255</v>
      </c>
      <c r="G7" s="15" t="n">
        <f aca="false">(G6-F6)/F6</f>
        <v>0.25</v>
      </c>
      <c r="H7" s="15" t="n">
        <f aca="false">(H6-G6)/G6</f>
        <v>0.2</v>
      </c>
      <c r="I7" s="15" t="n">
        <f aca="false">(I6-H6)/H6</f>
        <v>0.149920255183413</v>
      </c>
      <c r="J7" s="15" t="n">
        <f aca="false">(J6-I6)/I6</f>
        <v>0.122052704576976</v>
      </c>
      <c r="K7" s="15" t="n">
        <f aca="false">(K6-J6)/J6</f>
        <v>0.100123609394314</v>
      </c>
    </row>
    <row r="8" customFormat="false" ht="15" hidden="false" customHeight="true" outlineLevel="0" collapsed="false">
      <c r="B8" s="5" t="s">
        <v>80</v>
      </c>
      <c r="C8" s="10" t="n">
        <v>780</v>
      </c>
      <c r="D8" s="10" t="n">
        <v>1020</v>
      </c>
      <c r="E8" s="10" t="n">
        <v>1410</v>
      </c>
      <c r="F8" s="10" t="n">
        <v>1976</v>
      </c>
      <c r="G8" s="36" t="n">
        <v>2550</v>
      </c>
      <c r="H8" s="10" t="n">
        <v>3060</v>
      </c>
      <c r="I8" s="10" t="n">
        <v>3519</v>
      </c>
      <c r="J8" s="10" t="n">
        <v>3871</v>
      </c>
      <c r="K8" s="10" t="n">
        <v>4161</v>
      </c>
    </row>
    <row r="9" customFormat="false" ht="15" hidden="false" customHeight="true" outlineLevel="0" collapsed="false">
      <c r="B9" s="5" t="s">
        <v>81</v>
      </c>
      <c r="C9" s="37"/>
      <c r="D9" s="15" t="n">
        <f aca="false">(D8-C8)/C8</f>
        <v>0.307692307692308</v>
      </c>
      <c r="E9" s="15" t="n">
        <f aca="false">(E8-D8)/D8</f>
        <v>0.382352941176471</v>
      </c>
      <c r="F9" s="15" t="n">
        <f aca="false">(F8-E8)/E8</f>
        <v>0.401418439716312</v>
      </c>
      <c r="G9" s="15" t="n">
        <f aca="false">(G8-F8)/F8</f>
        <v>0.290485829959514</v>
      </c>
      <c r="H9" s="15" t="n">
        <f aca="false">(H8-G8)/G8</f>
        <v>0.2</v>
      </c>
      <c r="I9" s="15" t="n">
        <f aca="false">(I8-H8)/H8</f>
        <v>0.15</v>
      </c>
      <c r="J9" s="15" t="n">
        <f aca="false">(J8-I8)/I8</f>
        <v>0.100028417163967</v>
      </c>
      <c r="K9" s="15" t="n">
        <f aca="false">(K8-J8)/J8</f>
        <v>0.0749160423663136</v>
      </c>
    </row>
    <row r="11" customFormat="false" ht="15" hidden="false" customHeight="true" outlineLevel="0" collapsed="false">
      <c r="B11" s="5" t="s">
        <v>82</v>
      </c>
      <c r="C11" s="10" t="n">
        <v>470</v>
      </c>
      <c r="D11" s="10" t="n">
        <v>688</v>
      </c>
      <c r="E11" s="10" t="n">
        <v>973</v>
      </c>
      <c r="F11" s="10" t="n">
        <v>1428</v>
      </c>
      <c r="G11" s="10" t="n">
        <v>1838</v>
      </c>
      <c r="H11" s="10" t="n">
        <v>2234</v>
      </c>
      <c r="I11" s="10" t="n">
        <v>2600</v>
      </c>
      <c r="J11" s="10" t="n">
        <v>2906</v>
      </c>
      <c r="K11" s="10" t="n">
        <v>3192</v>
      </c>
    </row>
    <row r="12" customFormat="false" ht="15" hidden="false" customHeight="true" outlineLevel="0" collapsed="false">
      <c r="B12" s="5" t="s">
        <v>83</v>
      </c>
      <c r="C12" s="15" t="n">
        <f aca="false">C11/C6</f>
        <v>0.236180904522613</v>
      </c>
      <c r="D12" s="15" t="n">
        <f aca="false">D11/D6</f>
        <v>0.26875</v>
      </c>
      <c r="E12" s="15" t="n">
        <f aca="false">E11/E6</f>
        <v>0.292192192192192</v>
      </c>
      <c r="F12" s="15" t="n">
        <f aca="false">F11/F6</f>
        <v>0.341626794258373</v>
      </c>
      <c r="G12" s="15" t="n">
        <f aca="false">G11/G6</f>
        <v>0.35177033492823</v>
      </c>
      <c r="H12" s="15" t="n">
        <f aca="false">H11/H6</f>
        <v>0.356299840510367</v>
      </c>
      <c r="I12" s="15" t="n">
        <f aca="false">I11/I6</f>
        <v>0.360610263522885</v>
      </c>
      <c r="J12" s="15" t="n">
        <f aca="false">J11/J6</f>
        <v>0.359208899876391</v>
      </c>
      <c r="K12" s="15" t="n">
        <f aca="false">K11/K6</f>
        <v>0.358651685393258</v>
      </c>
    </row>
    <row r="14" customFormat="false" ht="15" hidden="false" customHeight="true" outlineLevel="0" collapsed="false">
      <c r="B14" s="35" t="s">
        <v>84</v>
      </c>
      <c r="C14" s="10" t="n">
        <v>269</v>
      </c>
      <c r="D14" s="10" t="n">
        <v>366</v>
      </c>
      <c r="E14" s="10" t="n">
        <v>357</v>
      </c>
      <c r="F14" s="10" t="n">
        <v>817</v>
      </c>
      <c r="G14" s="36" t="n">
        <v>1307</v>
      </c>
      <c r="H14" s="36" t="n">
        <v>1580</v>
      </c>
      <c r="J14" s="10" t="n">
        <v>1770</v>
      </c>
      <c r="K14" s="10" t="n">
        <v>1982</v>
      </c>
      <c r="L14" s="10" t="n">
        <v>2220</v>
      </c>
    </row>
    <row r="15" customFormat="false" ht="15" hidden="false" customHeight="true" outlineLevel="0" collapsed="false">
      <c r="B15" s="5" t="s">
        <v>85</v>
      </c>
      <c r="C15" s="37"/>
      <c r="D15" s="15" t="n">
        <f aca="false">IF(C14=0,"-",(D14-C14)/C14)</f>
        <v>0.360594795539033</v>
      </c>
      <c r="E15" s="15" t="n">
        <f aca="false">IF(D14=0,"-",(E14-D14)/D14)</f>
        <v>-0.0245901639344262</v>
      </c>
      <c r="F15" s="15" t="n">
        <f aca="false">IF(E14=0,"-",(F14-E14)/E14)</f>
        <v>1.28851540616247</v>
      </c>
      <c r="G15" s="15" t="n">
        <f aca="false">IF(F14=0,"-",(G14-F14)/F14)</f>
        <v>0.599755201958384</v>
      </c>
      <c r="H15" s="15" t="n">
        <f aca="false">IF(G14=0,"-",(H14-G14)/G14)</f>
        <v>0.208875286916603</v>
      </c>
      <c r="I15" s="15" t="n">
        <f aca="false">IF(H14=0,"-",(I14-H14)/H14)</f>
        <v>-1</v>
      </c>
      <c r="J15" s="15" t="str">
        <f aca="false">IF(I14=0,"-",(J14-I14)/I14)</f>
        <v>-</v>
      </c>
      <c r="K15" s="15" t="n">
        <f aca="false">IF(J14=0,"-",(K14-J14)/J14)</f>
        <v>0.119774011299435</v>
      </c>
    </row>
    <row r="16" customFormat="false" ht="15" hidden="false" customHeight="true" outlineLevel="0" collapsed="false">
      <c r="B16" s="5" t="s">
        <v>86</v>
      </c>
      <c r="C16" s="15" t="n">
        <f aca="false">C14/C6</f>
        <v>0.135175879396985</v>
      </c>
      <c r="D16" s="15" t="n">
        <f aca="false">D14/D6</f>
        <v>0.14296875</v>
      </c>
      <c r="E16" s="15" t="n">
        <f aca="false">E14/E6</f>
        <v>0.107207207207207</v>
      </c>
      <c r="F16" s="15" t="n">
        <f aca="false">F14/F6</f>
        <v>0.195454545454545</v>
      </c>
      <c r="G16" s="15" t="n">
        <f aca="false">G14/G6</f>
        <v>0.250143540669856</v>
      </c>
      <c r="H16" s="15" t="n">
        <f aca="false">H14/H6</f>
        <v>0.251993620414673</v>
      </c>
      <c r="I16" s="15" t="n">
        <f aca="false">I14/I6</f>
        <v>0</v>
      </c>
      <c r="J16" s="15" t="n">
        <f aca="false">J14/J6</f>
        <v>0.218788627935723</v>
      </c>
      <c r="K16" s="15" t="n">
        <f aca="false">K14/K6</f>
        <v>0.222696629213483</v>
      </c>
    </row>
    <row r="17" customFormat="false" ht="15" hidden="false" customHeight="true" outlineLevel="0" collapsed="false">
      <c r="B17" s="38" t="s">
        <v>87</v>
      </c>
      <c r="G17" s="39" t="n">
        <v>1190</v>
      </c>
    </row>
    <row r="19" customFormat="false" ht="15" hidden="false" customHeight="true" outlineLevel="0" collapsed="false">
      <c r="B19" s="35" t="s">
        <v>88</v>
      </c>
      <c r="C19" s="40" t="n">
        <v>-105</v>
      </c>
      <c r="D19" s="40" t="n">
        <v>251</v>
      </c>
      <c r="E19" s="40" t="n">
        <v>311</v>
      </c>
      <c r="F19" s="40" t="n">
        <v>499</v>
      </c>
      <c r="G19" s="36" t="n">
        <v>585</v>
      </c>
      <c r="H19" s="36" t="n">
        <v>750</v>
      </c>
      <c r="I19" s="10" t="n">
        <v>870</v>
      </c>
      <c r="J19" s="10" t="n">
        <v>1000</v>
      </c>
      <c r="K19" s="10" t="n">
        <v>1130</v>
      </c>
    </row>
    <row r="20" customFormat="false" ht="15" hidden="false" customHeight="true" outlineLevel="0" collapsed="false">
      <c r="B20" s="5" t="s">
        <v>89</v>
      </c>
      <c r="C20" s="15" t="n">
        <f aca="false">IF(C6=0,"-",C19/C6)</f>
        <v>-0.0527638190954774</v>
      </c>
      <c r="D20" s="15" t="n">
        <f aca="false">IF(D6=0,"-",D19/D6)</f>
        <v>0.098046875</v>
      </c>
      <c r="E20" s="15" t="n">
        <f aca="false">IF(E6=0,"-",E19/E6)</f>
        <v>0.0933933933933934</v>
      </c>
      <c r="F20" s="15" t="n">
        <f aca="false">IF(F6=0,"-",F19/F6)</f>
        <v>0.119377990430622</v>
      </c>
      <c r="G20" s="15" t="n">
        <f aca="false">IF(G6=0,"-",G19/G6)</f>
        <v>0.111961722488038</v>
      </c>
      <c r="H20" s="15" t="n">
        <f aca="false">IF(H6=0,"-",H19/H6)</f>
        <v>0.119617224880383</v>
      </c>
      <c r="I20" s="15" t="n">
        <f aca="false">IF(I6=0,"-",I19/I6)</f>
        <v>0.120665742024965</v>
      </c>
      <c r="J20" s="15" t="n">
        <f aca="false">IF(J6=0,"-",J19/J6)</f>
        <v>0.123609394313968</v>
      </c>
      <c r="K20" s="15" t="n">
        <f aca="false">IF(K6=0,"-",K19/K6)</f>
        <v>0.126966292134831</v>
      </c>
    </row>
    <row r="22" customFormat="false" ht="15" hidden="false" customHeight="true" outlineLevel="0" collapsed="false">
      <c r="B22" s="5" t="s">
        <v>90</v>
      </c>
      <c r="C22" s="10" t="n">
        <v>72</v>
      </c>
      <c r="D22" s="10" t="n">
        <v>109</v>
      </c>
      <c r="E22" s="10" t="n">
        <v>165</v>
      </c>
      <c r="F22" s="10" t="n">
        <v>209</v>
      </c>
      <c r="G22" s="36" t="n">
        <v>250</v>
      </c>
      <c r="H22" s="10" t="n">
        <v>300</v>
      </c>
      <c r="I22" s="10" t="n">
        <v>348</v>
      </c>
      <c r="J22" s="10" t="n">
        <v>397</v>
      </c>
      <c r="K22" s="10" t="n">
        <v>440</v>
      </c>
    </row>
    <row r="23" customFormat="false" ht="15" hidden="false" customHeight="true" outlineLevel="0" collapsed="false">
      <c r="B23" s="5" t="s">
        <v>91</v>
      </c>
      <c r="C23" s="37"/>
      <c r="D23" s="15" t="n">
        <f aca="false">(D22-C22)/C22</f>
        <v>0.513888888888889</v>
      </c>
      <c r="E23" s="15" t="n">
        <f aca="false">(E22-D22)/D22</f>
        <v>0.513761467889908</v>
      </c>
      <c r="F23" s="15" t="n">
        <f aca="false">(F22-E22)/E22</f>
        <v>0.266666666666667</v>
      </c>
      <c r="G23" s="15" t="n">
        <f aca="false">(G22-F22)/F22</f>
        <v>0.196172248803828</v>
      </c>
      <c r="H23" s="15" t="n">
        <f aca="false">(H22-G22)/G22</f>
        <v>0.2</v>
      </c>
      <c r="I23" s="15" t="n">
        <f aca="false">(I22-H22)/H22</f>
        <v>0.16</v>
      </c>
      <c r="J23" s="15" t="n">
        <f aca="false">(J22-I22)/I22</f>
        <v>0.140804597701149</v>
      </c>
      <c r="K23" s="15" t="n">
        <f aca="false">(K22-J22)/J22</f>
        <v>0.10831234256927</v>
      </c>
    </row>
    <row r="24" customFormat="false" ht="15" hidden="false" customHeight="true" outlineLevel="0" collapsed="false">
      <c r="B24" s="5" t="s">
        <v>92</v>
      </c>
      <c r="C24" s="41" t="n">
        <v>61</v>
      </c>
      <c r="D24" s="41" t="n">
        <v>62</v>
      </c>
      <c r="E24" s="41" t="n">
        <v>61</v>
      </c>
      <c r="F24" s="41" t="n">
        <v>60</v>
      </c>
      <c r="G24" s="41" t="n">
        <v>61</v>
      </c>
      <c r="H24" s="41" t="n">
        <v>61</v>
      </c>
      <c r="I24" s="41" t="n">
        <v>61</v>
      </c>
      <c r="J24" s="41" t="n">
        <v>61</v>
      </c>
      <c r="K24" s="41" t="n">
        <v>61</v>
      </c>
    </row>
    <row r="25" customFormat="false" ht="15" hidden="false" customHeight="true" outlineLevel="0" collapsed="false">
      <c r="B25" s="42"/>
      <c r="C25" s="42"/>
      <c r="D25" s="42"/>
      <c r="E25" s="42"/>
      <c r="F25" s="42"/>
      <c r="G25" s="42"/>
      <c r="H25" s="42"/>
      <c r="I25" s="42"/>
      <c r="J25" s="42"/>
      <c r="K25" s="42"/>
    </row>
    <row r="27" customFormat="false" ht="15" hidden="false" customHeight="true" outlineLevel="0" collapsed="false">
      <c r="B27" s="31" t="s">
        <v>63</v>
      </c>
    </row>
    <row r="28" customFormat="false" ht="15" hidden="false" customHeight="true" outlineLevel="0" collapsed="false">
      <c r="B28" s="32" t="s">
        <v>64</v>
      </c>
    </row>
    <row r="29" customFormat="false" ht="15" hidden="false" customHeight="true" outlineLevel="0" collapsed="false">
      <c r="B29" s="31" t="s">
        <v>65</v>
      </c>
    </row>
    <row r="31" customFormat="false" ht="15" hidden="false" customHeight="true" outlineLevel="0" collapsed="false">
      <c r="B31" s="43" t="s">
        <v>93</v>
      </c>
    </row>
    <row r="32" customFormat="false" ht="15" hidden="false" customHeight="true" outlineLevel="0" collapsed="false">
      <c r="B32" s="44" t="s">
        <v>94</v>
      </c>
    </row>
    <row r="33" customFormat="false" ht="15" hidden="false" customHeight="true" outlineLevel="0" collapsed="false">
      <c r="B33" s="45" t="s">
        <v>95</v>
      </c>
    </row>
    <row r="34" customFormat="false" ht="15" hidden="false" customHeight="true" outlineLevel="0" collapsed="false">
      <c r="B34" s="46" t="s">
        <v>96</v>
      </c>
    </row>
  </sheetData>
  <mergeCells count="2">
    <mergeCell ref="B2:K2"/>
    <mergeCell ref="B3:K3"/>
  </mergeCells>
  <hyperlinks>
    <hyperlink ref="B28" r:id="rId1" display="Data: https://perplexity.ai/finance/FOU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B2F"/>
    <pageSetUpPr fitToPage="false"/>
  </sheetPr>
  <dimension ref="B2: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13" min="3" style="1" width="14"/>
  </cols>
  <sheetData>
    <row r="2" customFormat="false" ht="17.25" hidden="false" customHeight="true" outlineLevel="0" collapsed="false">
      <c r="B2" s="33" t="s">
        <v>97</v>
      </c>
      <c r="C2" s="33"/>
      <c r="D2" s="33"/>
      <c r="E2" s="33"/>
      <c r="F2" s="33"/>
      <c r="G2" s="33"/>
      <c r="H2" s="33"/>
      <c r="I2" s="33"/>
      <c r="J2" s="33"/>
      <c r="K2" s="33"/>
      <c r="L2" s="33"/>
      <c r="M2" s="33"/>
    </row>
    <row r="3" customFormat="false" ht="15" hidden="false" customHeight="true" outlineLevel="0" collapsed="false">
      <c r="B3" s="3" t="s">
        <v>98</v>
      </c>
      <c r="C3" s="3"/>
      <c r="D3" s="3"/>
      <c r="E3" s="3"/>
      <c r="F3" s="3"/>
      <c r="G3" s="3"/>
      <c r="H3" s="3"/>
      <c r="I3" s="3"/>
      <c r="J3" s="3"/>
      <c r="K3" s="3"/>
      <c r="L3" s="3"/>
      <c r="M3" s="3"/>
    </row>
    <row r="5" customFormat="false" ht="15" hidden="false" customHeight="true" outlineLevel="0" collapsed="false">
      <c r="B5" s="9"/>
      <c r="C5" s="9" t="s">
        <v>99</v>
      </c>
      <c r="D5" s="9" t="s">
        <v>100</v>
      </c>
      <c r="E5" s="9" t="s">
        <v>101</v>
      </c>
      <c r="F5" s="9" t="s">
        <v>102</v>
      </c>
      <c r="G5" s="9" t="s">
        <v>103</v>
      </c>
      <c r="H5" s="9" t="s">
        <v>104</v>
      </c>
      <c r="I5" s="9" t="s">
        <v>105</v>
      </c>
      <c r="J5" s="9" t="s">
        <v>106</v>
      </c>
      <c r="K5" s="9" t="s">
        <v>107</v>
      </c>
    </row>
    <row r="6" customFormat="false" ht="15" hidden="false" customHeight="true" outlineLevel="0" collapsed="false">
      <c r="B6" s="5" t="s">
        <v>108</v>
      </c>
      <c r="C6" s="10"/>
      <c r="D6" s="10" t="n">
        <v>964</v>
      </c>
      <c r="E6" s="47" t="n">
        <f aca="false">D13</f>
        <v>556</v>
      </c>
      <c r="F6" s="47" t="n">
        <f aca="false">E13</f>
        <v>414</v>
      </c>
      <c r="G6" s="47" t="n">
        <f aca="false">F13</f>
        <v>561</v>
      </c>
      <c r="H6" s="47" t="n">
        <f aca="false">G13</f>
        <v>631</v>
      </c>
      <c r="I6" s="47" t="n">
        <f aca="false">H13</f>
        <v>746</v>
      </c>
      <c r="J6" s="47" t="n">
        <f aca="false">I13</f>
        <v>936</v>
      </c>
      <c r="K6" s="47" t="n">
        <f aca="false">J13</f>
        <v>573</v>
      </c>
    </row>
    <row r="7" customFormat="false" ht="15" hidden="false" customHeight="true" outlineLevel="0" collapsed="false">
      <c r="B7" s="5" t="s">
        <v>109</v>
      </c>
      <c r="C7" s="12"/>
      <c r="D7" s="36" t="n">
        <v>70</v>
      </c>
      <c r="E7" s="36" t="n">
        <v>148</v>
      </c>
      <c r="F7" s="36" t="n">
        <v>222</v>
      </c>
      <c r="G7" s="36" t="n">
        <v>145</v>
      </c>
      <c r="H7" s="36" t="n">
        <v>115</v>
      </c>
      <c r="I7" s="36" t="n">
        <v>190</v>
      </c>
      <c r="J7" s="36" t="n">
        <v>270</v>
      </c>
      <c r="K7" s="36" t="n">
        <v>175</v>
      </c>
    </row>
    <row r="8" customFormat="false" ht="15" hidden="false" customHeight="true" outlineLevel="0" collapsed="false">
      <c r="B8" s="5" t="s">
        <v>110</v>
      </c>
      <c r="C8" s="40" t="n">
        <v>-305</v>
      </c>
      <c r="D8" s="40" t="n">
        <v>-255</v>
      </c>
      <c r="E8" s="40" t="n">
        <v>-440</v>
      </c>
      <c r="F8" s="48"/>
      <c r="G8" s="48"/>
      <c r="H8" s="48"/>
      <c r="I8" s="48"/>
      <c r="J8" s="48"/>
      <c r="K8" s="48"/>
    </row>
    <row r="9" customFormat="false" ht="15" hidden="false" customHeight="true" outlineLevel="0" collapsed="false">
      <c r="B9" s="5" t="s">
        <v>111</v>
      </c>
      <c r="C9" s="48"/>
      <c r="D9" s="40" t="n">
        <v>-223</v>
      </c>
      <c r="E9" s="48"/>
      <c r="F9" s="48"/>
      <c r="G9" s="48"/>
      <c r="H9" s="48"/>
      <c r="I9" s="48"/>
      <c r="J9" s="48"/>
      <c r="K9" s="48"/>
    </row>
    <row r="10" customFormat="false" ht="15" hidden="false" customHeight="true" outlineLevel="0" collapsed="false">
      <c r="B10" s="5" t="s">
        <v>112</v>
      </c>
      <c r="C10" s="48"/>
      <c r="D10" s="48"/>
      <c r="E10" s="40" t="n">
        <v>150</v>
      </c>
      <c r="F10" s="40" t="n">
        <v>-75</v>
      </c>
      <c r="G10" s="40" t="n">
        <v>-75</v>
      </c>
      <c r="H10" s="48"/>
      <c r="I10" s="48"/>
      <c r="J10" s="48"/>
      <c r="K10" s="48"/>
    </row>
    <row r="11" customFormat="false" ht="15" hidden="false" customHeight="true" outlineLevel="0" collapsed="false">
      <c r="B11" s="5" t="s">
        <v>113</v>
      </c>
      <c r="C11" s="48"/>
      <c r="D11" s="48"/>
      <c r="E11" s="48"/>
      <c r="F11" s="48"/>
      <c r="G11" s="48"/>
      <c r="H11" s="48"/>
      <c r="I11" s="48"/>
      <c r="J11" s="40" t="n">
        <v>-633</v>
      </c>
      <c r="K11" s="48"/>
    </row>
    <row r="12" customFormat="false" ht="15" hidden="false" customHeight="true" outlineLevel="0" collapsed="false">
      <c r="B12" s="49"/>
      <c r="C12" s="49"/>
      <c r="D12" s="49"/>
      <c r="E12" s="49"/>
      <c r="F12" s="49"/>
      <c r="G12" s="49"/>
      <c r="H12" s="49"/>
      <c r="I12" s="49"/>
      <c r="J12" s="49"/>
      <c r="K12" s="49"/>
    </row>
    <row r="13" customFormat="false" ht="15" hidden="false" customHeight="true" outlineLevel="0" collapsed="false">
      <c r="B13" s="35" t="s">
        <v>114</v>
      </c>
      <c r="C13" s="10" t="n">
        <v>964</v>
      </c>
      <c r="D13" s="50" t="n">
        <f aca="false">SUM(D6:D11)</f>
        <v>556</v>
      </c>
      <c r="E13" s="50" t="n">
        <f aca="false">SUM(E6:E11)</f>
        <v>414</v>
      </c>
      <c r="F13" s="50" t="n">
        <f aca="false">SUM(F6:F11)</f>
        <v>561</v>
      </c>
      <c r="G13" s="50" t="n">
        <f aca="false">SUM(G6:G11)</f>
        <v>631</v>
      </c>
      <c r="H13" s="50" t="n">
        <f aca="false">SUM(H6:H11)</f>
        <v>746</v>
      </c>
      <c r="I13" s="50" t="n">
        <f aca="false">SUM(I6:I11)</f>
        <v>936</v>
      </c>
      <c r="J13" s="50" t="n">
        <f aca="false">SUM(J6:J11)</f>
        <v>573</v>
      </c>
      <c r="K13" s="50" t="n">
        <f aca="false">SUM(K6:K11)</f>
        <v>748</v>
      </c>
    </row>
    <row r="15" customFormat="false" ht="15" hidden="false" customHeight="true" outlineLevel="0" collapsed="false">
      <c r="B15" s="5" t="s">
        <v>115</v>
      </c>
      <c r="C15" s="36" t="n">
        <v>304</v>
      </c>
      <c r="D15" s="36" t="n">
        <v>233</v>
      </c>
      <c r="E15" s="36" t="n">
        <v>330</v>
      </c>
      <c r="F15" s="36" t="n">
        <v>409</v>
      </c>
      <c r="G15" s="36" t="n">
        <v>335</v>
      </c>
      <c r="H15" s="36" t="n">
        <v>290</v>
      </c>
      <c r="I15" s="36" t="n">
        <v>395</v>
      </c>
      <c r="J15" s="36" t="n">
        <v>490</v>
      </c>
      <c r="K15" s="36" t="n">
        <v>405</v>
      </c>
    </row>
    <row r="16" customFormat="false" ht="15" hidden="false" customHeight="true" outlineLevel="0" collapsed="false">
      <c r="B16" s="5" t="s">
        <v>116</v>
      </c>
      <c r="C16" s="10" t="n">
        <v>970</v>
      </c>
      <c r="D16" s="10" t="n">
        <v>1070</v>
      </c>
      <c r="E16" s="10" t="n">
        <v>1170</v>
      </c>
      <c r="F16" s="10" t="n">
        <v>1302</v>
      </c>
      <c r="G16" s="10" t="n">
        <v>1307</v>
      </c>
      <c r="H16" s="10" t="n">
        <v>1395</v>
      </c>
      <c r="I16" s="10" t="n">
        <v>1514</v>
      </c>
      <c r="J16" s="10" t="n">
        <v>1518</v>
      </c>
      <c r="K16" s="10" t="n">
        <v>1580</v>
      </c>
    </row>
    <row r="17" customFormat="false" ht="15" hidden="false" customHeight="true" outlineLevel="0" collapsed="false">
      <c r="B17" s="5" t="s">
        <v>117</v>
      </c>
      <c r="C17" s="10" t="n">
        <v>4543</v>
      </c>
      <c r="D17" s="10" t="n">
        <v>4547</v>
      </c>
      <c r="E17" s="10" t="n">
        <v>4544</v>
      </c>
      <c r="F17" s="10" t="n">
        <v>4547</v>
      </c>
      <c r="G17" s="10" t="n">
        <v>4539</v>
      </c>
      <c r="H17" s="10" t="n">
        <v>4540</v>
      </c>
      <c r="I17" s="10" t="n">
        <v>4539</v>
      </c>
      <c r="J17" s="10" t="n">
        <v>3906</v>
      </c>
      <c r="K17" s="10" t="n">
        <v>3906</v>
      </c>
    </row>
    <row r="18" customFormat="false" ht="15" hidden="false" customHeight="true" outlineLevel="0" collapsed="false">
      <c r="B18" s="35" t="s">
        <v>37</v>
      </c>
      <c r="C18" s="51" t="n">
        <f aca="false">C17-C13</f>
        <v>3579</v>
      </c>
      <c r="D18" s="51" t="n">
        <f aca="false">D17-D13</f>
        <v>3991</v>
      </c>
      <c r="E18" s="51" t="n">
        <f aca="false">E17-E13</f>
        <v>4130</v>
      </c>
      <c r="F18" s="51" t="n">
        <f aca="false">F17-F13</f>
        <v>3986</v>
      </c>
      <c r="G18" s="51" t="n">
        <f aca="false">G17-G13</f>
        <v>3908</v>
      </c>
      <c r="H18" s="51" t="n">
        <f aca="false">H17-H13</f>
        <v>3794</v>
      </c>
      <c r="I18" s="51" t="n">
        <f aca="false">I17-I13</f>
        <v>3603</v>
      </c>
      <c r="J18" s="51" t="n">
        <f aca="false">J17-J13</f>
        <v>3333</v>
      </c>
      <c r="K18" s="51" t="n">
        <f aca="false">K17-K13</f>
        <v>3158</v>
      </c>
    </row>
    <row r="19" customFormat="false" ht="15" hidden="false" customHeight="true" outlineLevel="0" collapsed="false">
      <c r="B19" s="35" t="s">
        <v>118</v>
      </c>
      <c r="C19" s="52" t="n">
        <f aca="false">C18/C16</f>
        <v>3.68969072164948</v>
      </c>
      <c r="D19" s="52" t="n">
        <f aca="false">D18/D16</f>
        <v>3.72990654205608</v>
      </c>
      <c r="E19" s="52" t="n">
        <f aca="false">E18/E16</f>
        <v>3.52991452991453</v>
      </c>
      <c r="F19" s="52" t="n">
        <f aca="false">F18/F16</f>
        <v>3.06144393241167</v>
      </c>
      <c r="G19" s="52" t="n">
        <f aca="false">G18/G16</f>
        <v>2.99005355776588</v>
      </c>
      <c r="H19" s="52" t="n">
        <f aca="false">H18/H16</f>
        <v>2.71971326164875</v>
      </c>
      <c r="I19" s="52" t="n">
        <f aca="false">I18/I16</f>
        <v>2.37978863936592</v>
      </c>
      <c r="J19" s="52" t="n">
        <f aca="false">J18/J16</f>
        <v>2.19565217391304</v>
      </c>
      <c r="K19" s="52" t="n">
        <f aca="false">K18/K16</f>
        <v>1.99873417721519</v>
      </c>
    </row>
    <row r="21" customFormat="false" ht="15" hidden="false" customHeight="true" outlineLevel="0" collapsed="false">
      <c r="B21" s="4" t="s">
        <v>119</v>
      </c>
      <c r="C21" s="4"/>
      <c r="D21" s="4"/>
      <c r="E21" s="4"/>
      <c r="F21" s="4"/>
      <c r="G21" s="4"/>
      <c r="H21" s="4"/>
      <c r="I21" s="4"/>
      <c r="J21" s="4"/>
      <c r="K21" s="4"/>
    </row>
    <row r="22" customFormat="false" ht="15" hidden="false" customHeight="true" outlineLevel="0" collapsed="false">
      <c r="B22" s="53" t="s">
        <v>120</v>
      </c>
      <c r="C22" s="53"/>
      <c r="D22" s="53"/>
      <c r="E22" s="53"/>
      <c r="F22" s="53"/>
      <c r="G22" s="53"/>
      <c r="H22" s="53"/>
      <c r="I22" s="53"/>
      <c r="J22" s="53"/>
      <c r="K22" s="53"/>
    </row>
    <row r="23" customFormat="false" ht="15" hidden="false" customHeight="true" outlineLevel="0" collapsed="false">
      <c r="B23" s="53" t="s">
        <v>121</v>
      </c>
      <c r="C23" s="53"/>
      <c r="D23" s="53"/>
      <c r="E23" s="53"/>
      <c r="F23" s="53"/>
      <c r="G23" s="53"/>
      <c r="H23" s="53"/>
      <c r="I23" s="53"/>
      <c r="J23" s="53"/>
      <c r="K23" s="53"/>
    </row>
    <row r="24" customFormat="false" ht="15" hidden="false" customHeight="true" outlineLevel="0" collapsed="false">
      <c r="B24" s="53" t="s">
        <v>122</v>
      </c>
      <c r="C24" s="53"/>
      <c r="D24" s="53"/>
      <c r="E24" s="53"/>
      <c r="F24" s="53"/>
      <c r="G24" s="53"/>
      <c r="H24" s="53"/>
      <c r="I24" s="53"/>
      <c r="J24" s="53"/>
      <c r="K24" s="53"/>
    </row>
    <row r="25" customFormat="false" ht="15" hidden="false" customHeight="true" outlineLevel="0" collapsed="false">
      <c r="B25" s="53" t="s">
        <v>123</v>
      </c>
      <c r="C25" s="53"/>
      <c r="D25" s="53"/>
      <c r="E25" s="53"/>
      <c r="F25" s="53"/>
      <c r="G25" s="53"/>
      <c r="H25" s="53"/>
      <c r="I25" s="53"/>
      <c r="J25" s="53"/>
      <c r="K25" s="53"/>
    </row>
    <row r="26" customFormat="false" ht="15" hidden="false" customHeight="true" outlineLevel="0" collapsed="false">
      <c r="B26" s="53" t="s">
        <v>124</v>
      </c>
      <c r="C26" s="53"/>
      <c r="D26" s="53"/>
      <c r="E26" s="53"/>
      <c r="F26" s="53"/>
      <c r="G26" s="53"/>
      <c r="H26" s="53"/>
      <c r="I26" s="53"/>
      <c r="J26" s="53"/>
      <c r="K26" s="53"/>
    </row>
    <row r="27" customFormat="false" ht="15" hidden="false" customHeight="true" outlineLevel="0" collapsed="false">
      <c r="B27" s="53" t="s">
        <v>125</v>
      </c>
      <c r="C27" s="53"/>
      <c r="D27" s="53"/>
      <c r="E27" s="53"/>
      <c r="F27" s="53"/>
      <c r="G27" s="53"/>
      <c r="H27" s="53"/>
      <c r="I27" s="53"/>
      <c r="J27" s="53"/>
      <c r="K27" s="53"/>
    </row>
    <row r="29" customFormat="false" ht="15" hidden="false" customHeight="true" outlineLevel="0" collapsed="false">
      <c r="B29" s="31" t="s">
        <v>63</v>
      </c>
    </row>
    <row r="30" customFormat="false" ht="15" hidden="false" customHeight="true" outlineLevel="0" collapsed="false">
      <c r="B30" s="32" t="s">
        <v>64</v>
      </c>
    </row>
    <row r="31" customFormat="false" ht="15" hidden="false" customHeight="true" outlineLevel="0" collapsed="false">
      <c r="B31" s="31" t="s">
        <v>65</v>
      </c>
    </row>
  </sheetData>
  <mergeCells count="9">
    <mergeCell ref="B2:M2"/>
    <mergeCell ref="B3:M3"/>
    <mergeCell ref="B21:K21"/>
    <mergeCell ref="B22:K22"/>
    <mergeCell ref="B23:K23"/>
    <mergeCell ref="B24:K24"/>
    <mergeCell ref="B25:K25"/>
    <mergeCell ref="B26:K26"/>
    <mergeCell ref="B27:K27"/>
  </mergeCells>
  <hyperlinks>
    <hyperlink ref="B30" r:id="rId1" display="Data: https://perplexity.ai/finance/FOU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37A22"/>
    <pageSetUpPr fitToPage="false"/>
  </sheetPr>
  <dimension ref="B2: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7" min="3" style="1" width="16"/>
  </cols>
  <sheetData>
    <row r="2" customFormat="false" ht="17.25" hidden="false" customHeight="true" outlineLevel="0" collapsed="false">
      <c r="B2" s="33" t="s">
        <v>126</v>
      </c>
      <c r="C2" s="33"/>
      <c r="D2" s="33"/>
      <c r="E2" s="33"/>
      <c r="F2" s="33"/>
      <c r="G2" s="33"/>
    </row>
    <row r="3" customFormat="false" ht="15" hidden="false" customHeight="true" outlineLevel="0" collapsed="false">
      <c r="B3" s="3" t="s">
        <v>127</v>
      </c>
      <c r="C3" s="3"/>
      <c r="D3" s="3"/>
      <c r="E3" s="3"/>
      <c r="F3" s="3"/>
      <c r="G3" s="3"/>
    </row>
    <row r="5" customFormat="false" ht="15" hidden="false" customHeight="true" outlineLevel="0" collapsed="false">
      <c r="B5" s="4" t="s">
        <v>128</v>
      </c>
      <c r="C5" s="4"/>
      <c r="D5" s="4"/>
      <c r="E5" s="4"/>
    </row>
    <row r="6" customFormat="false" ht="15" hidden="false" customHeight="true" outlineLevel="0" collapsed="false">
      <c r="B6" s="9" t="s">
        <v>129</v>
      </c>
      <c r="C6" s="9" t="s">
        <v>130</v>
      </c>
      <c r="D6" s="9" t="s">
        <v>131</v>
      </c>
      <c r="E6" s="9" t="s">
        <v>132</v>
      </c>
    </row>
    <row r="7" customFormat="false" ht="15" hidden="false" customHeight="true" outlineLevel="0" collapsed="false">
      <c r="B7" s="5" t="s">
        <v>133</v>
      </c>
      <c r="C7" s="54" t="n">
        <v>4.3</v>
      </c>
      <c r="D7" s="10" t="n">
        <v>305</v>
      </c>
      <c r="E7" s="13" t="n">
        <f aca="false">D7/C7</f>
        <v>70.9302325581395</v>
      </c>
    </row>
    <row r="8" customFormat="false" ht="15" hidden="false" customHeight="true" outlineLevel="0" collapsed="false">
      <c r="B8" s="5" t="s">
        <v>134</v>
      </c>
      <c r="C8" s="54" t="n">
        <v>4.7</v>
      </c>
      <c r="D8" s="10" t="n">
        <v>255</v>
      </c>
      <c r="E8" s="13" t="n">
        <f aca="false">D8/C8</f>
        <v>54.2553191489362</v>
      </c>
    </row>
    <row r="9" customFormat="false" ht="15" hidden="false" customHeight="true" outlineLevel="0" collapsed="false">
      <c r="B9" s="5" t="s">
        <v>135</v>
      </c>
      <c r="C9" s="54" t="n">
        <v>9.8</v>
      </c>
      <c r="D9" s="10" t="n">
        <v>440</v>
      </c>
      <c r="E9" s="13" t="n">
        <f aca="false">D9/C9</f>
        <v>44.8979591836735</v>
      </c>
    </row>
    <row r="10" customFormat="false" ht="15" hidden="false" customHeight="true" outlineLevel="0" collapsed="false">
      <c r="B10" s="5" t="s">
        <v>136</v>
      </c>
      <c r="C10" s="55" t="n">
        <f aca="false">SUM(C7:C9)</f>
        <v>18.8</v>
      </c>
      <c r="D10" s="51" t="n">
        <f aca="false">SUM(D7:D9)</f>
        <v>1000</v>
      </c>
      <c r="E10" s="56" t="n">
        <f aca="false">D10/C10</f>
        <v>53.1914893617021</v>
      </c>
    </row>
    <row r="14" customFormat="false" ht="15" hidden="false" customHeight="true" outlineLevel="0" collapsed="false">
      <c r="B14" s="4" t="s">
        <v>137</v>
      </c>
      <c r="C14" s="4"/>
      <c r="D14" s="4"/>
      <c r="E14" s="4"/>
      <c r="F14" s="4"/>
    </row>
    <row r="15" customFormat="false" ht="15" hidden="false" customHeight="true" outlineLevel="0" collapsed="false">
      <c r="B15" s="9"/>
      <c r="C15" s="9" t="s">
        <v>138</v>
      </c>
      <c r="D15" s="9" t="s">
        <v>139</v>
      </c>
      <c r="E15" s="9" t="s">
        <v>140</v>
      </c>
      <c r="F15" s="9" t="s">
        <v>141</v>
      </c>
    </row>
    <row r="16" customFormat="false" ht="15" hidden="false" customHeight="true" outlineLevel="0" collapsed="false">
      <c r="B16" s="5" t="s">
        <v>142</v>
      </c>
      <c r="C16" s="54" t="n">
        <v>86.5</v>
      </c>
    </row>
    <row r="17" customFormat="false" ht="15" hidden="false" customHeight="true" outlineLevel="0" collapsed="false">
      <c r="B17" s="5" t="s">
        <v>143</v>
      </c>
      <c r="C17" s="37"/>
      <c r="D17" s="54" t="n">
        <v>-18.8</v>
      </c>
    </row>
    <row r="18" customFormat="false" ht="15" hidden="false" customHeight="true" outlineLevel="0" collapsed="false">
      <c r="B18" s="5" t="s">
        <v>144</v>
      </c>
      <c r="C18" s="37"/>
      <c r="D18" s="57" t="n">
        <v>5.8</v>
      </c>
    </row>
    <row r="19" customFormat="false" ht="15" hidden="false" customHeight="true" outlineLevel="0" collapsed="false">
      <c r="B19" s="5" t="s">
        <v>145</v>
      </c>
      <c r="D19" s="55" t="n">
        <f aca="false">C16+D17+D18</f>
        <v>73.5</v>
      </c>
      <c r="E19" s="58" t="n">
        <f aca="false">D19-C16</f>
        <v>-13</v>
      </c>
      <c r="F19" s="15" t="n">
        <f aca="false">E19/C16</f>
        <v>-0.15028901734104</v>
      </c>
    </row>
    <row r="20" customFormat="false" ht="15" hidden="false" customHeight="true" outlineLevel="0" collapsed="false">
      <c r="B20" s="5" t="s">
        <v>146</v>
      </c>
      <c r="C20" s="54" t="n">
        <v>10</v>
      </c>
      <c r="D20" s="54" t="n">
        <v>10</v>
      </c>
    </row>
    <row r="21" customFormat="false" ht="15" hidden="false" customHeight="true" outlineLevel="0" collapsed="false">
      <c r="B21" s="35" t="s">
        <v>147</v>
      </c>
      <c r="C21" s="55" t="n">
        <f aca="false">C16+C20</f>
        <v>96.5</v>
      </c>
      <c r="D21" s="59" t="n">
        <f aca="false">D19+D20</f>
        <v>83.5</v>
      </c>
      <c r="E21" s="58" t="n">
        <f aca="false">D21-C21</f>
        <v>-13</v>
      </c>
      <c r="F21" s="60" t="n">
        <f aca="false">E21/C21</f>
        <v>-0.134715025906736</v>
      </c>
    </row>
    <row r="24" customFormat="false" ht="15" hidden="false" customHeight="true" outlineLevel="0" collapsed="false">
      <c r="B24" s="4" t="s">
        <v>148</v>
      </c>
      <c r="C24" s="4"/>
      <c r="D24" s="4"/>
      <c r="E24" s="4"/>
      <c r="F24" s="4"/>
    </row>
    <row r="25" customFormat="false" ht="15" hidden="false" customHeight="true" outlineLevel="0" collapsed="false">
      <c r="B25" s="9"/>
      <c r="C25" s="9" t="s">
        <v>72</v>
      </c>
      <c r="D25" s="9" t="s">
        <v>73</v>
      </c>
      <c r="E25" s="9" t="s">
        <v>74</v>
      </c>
    </row>
    <row r="26" customFormat="false" ht="15" hidden="false" customHeight="true" outlineLevel="0" collapsed="false">
      <c r="B26" s="5" t="s">
        <v>149</v>
      </c>
      <c r="C26" s="10" t="n">
        <v>500</v>
      </c>
      <c r="D26" s="10" t="n">
        <v>585</v>
      </c>
      <c r="E26" s="10" t="n">
        <v>750</v>
      </c>
    </row>
    <row r="27" customFormat="false" ht="15" hidden="false" customHeight="true" outlineLevel="0" collapsed="false">
      <c r="B27" s="5" t="s">
        <v>150</v>
      </c>
      <c r="C27" s="54" t="n">
        <v>86.5</v>
      </c>
      <c r="D27" s="54" t="n">
        <v>73.5</v>
      </c>
      <c r="E27" s="54" t="n">
        <v>74</v>
      </c>
    </row>
    <row r="28" customFormat="false" ht="15" hidden="false" customHeight="true" outlineLevel="0" collapsed="false">
      <c r="B28" s="5" t="s">
        <v>151</v>
      </c>
      <c r="C28" s="54" t="n">
        <v>96.5</v>
      </c>
      <c r="D28" s="54" t="n">
        <v>83.5</v>
      </c>
      <c r="E28" s="54" t="n">
        <v>84</v>
      </c>
    </row>
    <row r="29" customFormat="false" ht="15" hidden="false" customHeight="true" outlineLevel="0" collapsed="false">
      <c r="B29" s="35" t="s">
        <v>152</v>
      </c>
      <c r="C29" s="61" t="n">
        <f aca="false">C26/C27</f>
        <v>5.78034682080925</v>
      </c>
      <c r="D29" s="61" t="n">
        <f aca="false">D26/D27</f>
        <v>7.95918367346939</v>
      </c>
      <c r="E29" s="61" t="n">
        <f aca="false">E26/E27</f>
        <v>10.1351351351351</v>
      </c>
    </row>
    <row r="30" customFormat="false" ht="15" hidden="false" customHeight="true" outlineLevel="0" collapsed="false">
      <c r="B30" s="5" t="s">
        <v>153</v>
      </c>
      <c r="C30" s="37"/>
      <c r="D30" s="15" t="n">
        <f aca="false">(D29-C29)/C29</f>
        <v>0.376938775510204</v>
      </c>
      <c r="E30" s="15" t="n">
        <f aca="false">(E29-D29)/D29</f>
        <v>0.273388773388773</v>
      </c>
    </row>
    <row r="32" customFormat="false" ht="15" hidden="false" customHeight="true" outlineLevel="0" collapsed="false">
      <c r="B32" s="62" t="s">
        <v>154</v>
      </c>
      <c r="C32" s="62"/>
      <c r="D32" s="62"/>
      <c r="E32" s="62"/>
      <c r="F32" s="62"/>
    </row>
    <row r="34" customFormat="false" ht="15" hidden="false" customHeight="true" outlineLevel="0" collapsed="false">
      <c r="B34" s="31" t="s">
        <v>63</v>
      </c>
    </row>
    <row r="35" customFormat="false" ht="15" hidden="false" customHeight="true" outlineLevel="0" collapsed="false">
      <c r="B35" s="32" t="s">
        <v>64</v>
      </c>
    </row>
    <row r="36" customFormat="false" ht="15" hidden="false" customHeight="true" outlineLevel="0" collapsed="false">
      <c r="B36" s="31" t="s">
        <v>65</v>
      </c>
    </row>
  </sheetData>
  <mergeCells count="6">
    <mergeCell ref="B2:G2"/>
    <mergeCell ref="B3:G3"/>
    <mergeCell ref="B5:E5"/>
    <mergeCell ref="B14:F14"/>
    <mergeCell ref="B24:F24"/>
    <mergeCell ref="B32:F32"/>
  </mergeCells>
  <hyperlinks>
    <hyperlink ref="B35" r:id="rId1" display="Data: https://perplexity.ai/finance/FOU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494"/>
    <pageSetUpPr fitToPage="false"/>
  </sheetPr>
  <dimension ref="B2: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10" min="3" style="1" width="14"/>
  </cols>
  <sheetData>
    <row r="2" customFormat="false" ht="17.25" hidden="false" customHeight="true" outlineLevel="0" collapsed="false">
      <c r="B2" s="33" t="s">
        <v>155</v>
      </c>
      <c r="C2" s="33"/>
      <c r="D2" s="33"/>
      <c r="E2" s="33"/>
      <c r="F2" s="33"/>
      <c r="G2" s="33"/>
      <c r="H2" s="33"/>
      <c r="I2" s="33"/>
    </row>
    <row r="3" customFormat="false" ht="15" hidden="false" customHeight="true" outlineLevel="0" collapsed="false">
      <c r="B3" s="3" t="s">
        <v>156</v>
      </c>
      <c r="C3" s="3"/>
      <c r="D3" s="3"/>
      <c r="E3" s="3"/>
      <c r="F3" s="3"/>
      <c r="G3" s="3"/>
      <c r="H3" s="3"/>
      <c r="I3" s="3"/>
    </row>
    <row r="5" customFormat="false" ht="15" hidden="false" customHeight="true" outlineLevel="0" collapsed="false">
      <c r="B5" s="4" t="s">
        <v>157</v>
      </c>
      <c r="C5" s="4"/>
      <c r="D5" s="4"/>
      <c r="E5" s="4"/>
    </row>
    <row r="6" customFormat="false" ht="15" hidden="false" customHeight="true" outlineLevel="0" collapsed="false">
      <c r="B6" s="5" t="s">
        <v>12</v>
      </c>
      <c r="C6" s="8" t="s">
        <v>13</v>
      </c>
    </row>
    <row r="7" customFormat="false" ht="15" hidden="false" customHeight="true" outlineLevel="0" collapsed="false">
      <c r="B7" s="5" t="s">
        <v>16</v>
      </c>
      <c r="C7" s="8" t="s">
        <v>17</v>
      </c>
    </row>
    <row r="8" customFormat="false" ht="15" hidden="false" customHeight="true" outlineLevel="0" collapsed="false">
      <c r="B8" s="5" t="s">
        <v>20</v>
      </c>
      <c r="C8" s="8" t="s">
        <v>21</v>
      </c>
    </row>
    <row r="9" customFormat="false" ht="15" hidden="false" customHeight="true" outlineLevel="0" collapsed="false">
      <c r="B9" s="5" t="s">
        <v>158</v>
      </c>
      <c r="C9" s="8" t="s">
        <v>23</v>
      </c>
    </row>
    <row r="10" customFormat="false" ht="15" hidden="false" customHeight="true" outlineLevel="0" collapsed="false">
      <c r="B10" s="5" t="s">
        <v>159</v>
      </c>
      <c r="C10" s="8" t="s">
        <v>7</v>
      </c>
    </row>
    <row r="11" customFormat="false" ht="15" hidden="false" customHeight="true" outlineLevel="0" collapsed="false">
      <c r="B11" s="5" t="s">
        <v>10</v>
      </c>
      <c r="C11" s="8" t="s">
        <v>11</v>
      </c>
    </row>
    <row r="12" customFormat="false" ht="15" hidden="false" customHeight="true" outlineLevel="0" collapsed="false">
      <c r="B12" s="5" t="s">
        <v>160</v>
      </c>
      <c r="C12" s="8" t="s">
        <v>161</v>
      </c>
    </row>
    <row r="14" customFormat="false" ht="15" hidden="false" customHeight="true" outlineLevel="0" collapsed="false">
      <c r="B14" s="4" t="s">
        <v>162</v>
      </c>
      <c r="C14" s="4"/>
      <c r="D14" s="4"/>
      <c r="E14" s="4"/>
      <c r="F14" s="4"/>
    </row>
    <row r="15" customFormat="false" ht="15" hidden="false" customHeight="true" outlineLevel="0" collapsed="false">
      <c r="B15" s="9" t="s">
        <v>163</v>
      </c>
      <c r="C15" s="9" t="s">
        <v>164</v>
      </c>
      <c r="D15" s="9" t="s">
        <v>165</v>
      </c>
      <c r="E15" s="9" t="s">
        <v>166</v>
      </c>
      <c r="F15" s="9" t="s">
        <v>167</v>
      </c>
    </row>
    <row r="16" customFormat="false" ht="15" hidden="false" customHeight="true" outlineLevel="0" collapsed="false">
      <c r="B16" s="5" t="s">
        <v>168</v>
      </c>
      <c r="C16" s="63" t="n">
        <v>10.14</v>
      </c>
      <c r="D16" s="56" t="n">
        <f aca="false">C16*15</f>
        <v>152.1</v>
      </c>
      <c r="E16" s="56" t="n">
        <f aca="false">C16*18</f>
        <v>182.52</v>
      </c>
      <c r="F16" s="56" t="n">
        <f aca="false">C16*20</f>
        <v>202.8</v>
      </c>
    </row>
    <row r="17" customFormat="false" ht="15" hidden="false" customHeight="true" outlineLevel="0" collapsed="false">
      <c r="B17" s="5" t="s">
        <v>169</v>
      </c>
      <c r="D17" s="15" t="n">
        <f aca="false">(D16-42.56)/42.56</f>
        <v>2.57377819548872</v>
      </c>
      <c r="E17" s="15" t="n">
        <f aca="false">(E16-42.56)/42.56</f>
        <v>3.28853383458647</v>
      </c>
      <c r="F17" s="15" t="n">
        <f aca="false">(F16-42.56)/42.56</f>
        <v>3.76503759398496</v>
      </c>
    </row>
    <row r="20" customFormat="false" ht="15" hidden="false" customHeight="true" outlineLevel="0" collapsed="false">
      <c r="B20" s="4" t="s">
        <v>170</v>
      </c>
      <c r="C20" s="4"/>
      <c r="D20" s="4"/>
      <c r="E20" s="4"/>
      <c r="F20" s="4"/>
      <c r="G20" s="4"/>
      <c r="H20" s="4"/>
      <c r="I20" s="4"/>
    </row>
    <row r="21" customFormat="false" ht="15" hidden="false" customHeight="true" outlineLevel="0" collapsed="false">
      <c r="B21" s="64" t="s">
        <v>171</v>
      </c>
      <c r="C21" s="64"/>
      <c r="D21" s="64"/>
      <c r="E21" s="64"/>
      <c r="F21" s="64"/>
      <c r="G21" s="64"/>
      <c r="H21" s="64"/>
      <c r="I21" s="64"/>
    </row>
    <row r="22" customFormat="false" ht="15" hidden="false" customHeight="true" outlineLevel="0" collapsed="false">
      <c r="B22" s="9" t="s">
        <v>172</v>
      </c>
      <c r="C22" s="65" t="n">
        <v>8</v>
      </c>
      <c r="D22" s="65" t="n">
        <v>9</v>
      </c>
      <c r="E22" s="65" t="n">
        <v>10</v>
      </c>
      <c r="F22" s="65" t="n">
        <v>11</v>
      </c>
      <c r="G22" s="65" t="n">
        <v>12</v>
      </c>
      <c r="H22" s="65" t="n">
        <v>13</v>
      </c>
      <c r="I22" s="65" t="n">
        <v>15</v>
      </c>
    </row>
    <row r="23" customFormat="false" ht="15" hidden="false" customHeight="true" outlineLevel="0" collapsed="false">
      <c r="B23" s="66" t="n">
        <v>0.08</v>
      </c>
      <c r="C23" s="13" t="n">
        <f aca="false">(1307*(1+$B23)^4*C$22-2000)/63</f>
        <v>194.051945488254</v>
      </c>
      <c r="D23" s="13" t="n">
        <f aca="false">(1307*(1+$B23)^4*D$22-2000)/63</f>
        <v>222.27669264254</v>
      </c>
      <c r="E23" s="13" t="n">
        <f aca="false">(1307*(1+$B23)^4*E$22-2000)/63</f>
        <v>250.501439796825</v>
      </c>
      <c r="F23" s="13" t="n">
        <f aca="false">(1307*(1+$B23)^4*F$22-2000)/63</f>
        <v>278.726186951111</v>
      </c>
      <c r="G23" s="13" t="n">
        <f aca="false">(1307*(1+$B23)^4*G$22-2000)/63</f>
        <v>306.950934105397</v>
      </c>
      <c r="H23" s="13" t="n">
        <f aca="false">(1307*(1+$B23)^4*H$22-2000)/63</f>
        <v>335.175681259683</v>
      </c>
      <c r="I23" s="13" t="n">
        <f aca="false">(1307*(1+$B23)^4*I$22-2000)/63</f>
        <v>391.625175568254</v>
      </c>
    </row>
    <row r="24" customFormat="false" ht="15" hidden="false" customHeight="true" outlineLevel="0" collapsed="false">
      <c r="B24" s="66" t="n">
        <v>0.1</v>
      </c>
      <c r="C24" s="13" t="n">
        <f aca="false">(1307*(1+$B24)^4*C$22-2000)/63</f>
        <v>211.248088888889</v>
      </c>
      <c r="D24" s="13" t="n">
        <f aca="false">(1307*(1+$B24)^4*D$22-2000)/63</f>
        <v>241.622353968254</v>
      </c>
      <c r="E24" s="13" t="n">
        <f aca="false">(1307*(1+$B24)^4*E$22-2000)/63</f>
        <v>271.996619047619</v>
      </c>
      <c r="F24" s="13" t="n">
        <f aca="false">(1307*(1+$B24)^4*F$22-2000)/63</f>
        <v>302.370884126984</v>
      </c>
      <c r="G24" s="13" t="n">
        <f aca="false">(1307*(1+$B24)^4*G$22-2000)/63</f>
        <v>332.745149206349</v>
      </c>
      <c r="H24" s="13" t="n">
        <f aca="false">(1307*(1+$B24)^4*H$22-2000)/63</f>
        <v>363.119414285714</v>
      </c>
      <c r="I24" s="13" t="n">
        <f aca="false">(1307*(1+$B24)^4*I$22-2000)/63</f>
        <v>423.867944444445</v>
      </c>
    </row>
    <row r="25" customFormat="false" ht="15" hidden="false" customHeight="true" outlineLevel="0" collapsed="false">
      <c r="B25" s="66" t="n">
        <v>0.12</v>
      </c>
      <c r="C25" s="13" t="n">
        <f aca="false">(1307*(1+$B25)^4*C$22-2000)/63</f>
        <v>229.408229018413</v>
      </c>
      <c r="D25" s="13" t="n">
        <f aca="false">(1307*(1+$B25)^4*D$22-2000)/63</f>
        <v>262.052511613968</v>
      </c>
      <c r="E25" s="67" t="n">
        <f aca="false">(1307*(1+$B25)^4*E$22-2000)/63</f>
        <v>294.696794209524</v>
      </c>
      <c r="F25" s="13" t="n">
        <f aca="false">(1307*(1+$B25)^4*F$22-2000)/63</f>
        <v>327.341076805079</v>
      </c>
      <c r="G25" s="13" t="n">
        <f aca="false">(1307*(1+$B25)^4*G$22-2000)/63</f>
        <v>359.985359400635</v>
      </c>
      <c r="H25" s="13" t="n">
        <f aca="false">(1307*(1+$B25)^4*H$22-2000)/63</f>
        <v>392.629641996191</v>
      </c>
      <c r="I25" s="13" t="n">
        <f aca="false">(1307*(1+$B25)^4*I$22-2000)/63</f>
        <v>457.918207187302</v>
      </c>
    </row>
    <row r="26" customFormat="false" ht="15" hidden="false" customHeight="true" outlineLevel="0" collapsed="false">
      <c r="B26" s="66" t="n">
        <v>0.15</v>
      </c>
      <c r="C26" s="13" t="n">
        <f aca="false">(1307*(1+$B26)^4*C$22-2000)/63</f>
        <v>258.533481746032</v>
      </c>
      <c r="D26" s="13" t="n">
        <f aca="false">(1307*(1+$B26)^4*D$22-2000)/63</f>
        <v>294.81842093254</v>
      </c>
      <c r="E26" s="13" t="n">
        <f aca="false">(1307*(1+$B26)^4*E$22-2000)/63</f>
        <v>331.103360119048</v>
      </c>
      <c r="F26" s="13" t="n">
        <f aca="false">(1307*(1+$B26)^4*F$22-2000)/63</f>
        <v>367.388299305555</v>
      </c>
      <c r="G26" s="13" t="n">
        <f aca="false">(1307*(1+$B26)^4*G$22-2000)/63</f>
        <v>403.673238492063</v>
      </c>
      <c r="H26" s="13" t="n">
        <f aca="false">(1307*(1+$B26)^4*H$22-2000)/63</f>
        <v>439.958177678571</v>
      </c>
      <c r="I26" s="13" t="n">
        <f aca="false">(1307*(1+$B26)^4*I$22-2000)/63</f>
        <v>512.528056051587</v>
      </c>
    </row>
    <row r="27" customFormat="false" ht="15" hidden="false" customHeight="true" outlineLevel="0" collapsed="false">
      <c r="B27" s="66" t="n">
        <v>0.18</v>
      </c>
      <c r="C27" s="13" t="n">
        <f aca="false">(1307*(1+$B27)^4*C$22-2000)/63</f>
        <v>290.029527913651</v>
      </c>
      <c r="D27" s="13" t="n">
        <f aca="false">(1307*(1+$B27)^4*D$22-2000)/63</f>
        <v>330.251472871111</v>
      </c>
      <c r="E27" s="13" t="n">
        <f aca="false">(1307*(1+$B27)^4*E$22-2000)/63</f>
        <v>370.473417828571</v>
      </c>
      <c r="F27" s="13" t="n">
        <f aca="false">(1307*(1+$B27)^4*F$22-2000)/63</f>
        <v>410.695362786032</v>
      </c>
      <c r="G27" s="13" t="n">
        <f aca="false">(1307*(1+$B27)^4*G$22-2000)/63</f>
        <v>450.917307743492</v>
      </c>
      <c r="H27" s="13" t="n">
        <f aca="false">(1307*(1+$B27)^4*H$22-2000)/63</f>
        <v>491.139252700952</v>
      </c>
      <c r="I27" s="13" t="n">
        <f aca="false">(1307*(1+$B27)^4*I$22-2000)/63</f>
        <v>571.583142615873</v>
      </c>
    </row>
    <row r="28" customFormat="false" ht="15" hidden="false" customHeight="true" outlineLevel="0" collapsed="false">
      <c r="B28" s="66" t="n">
        <v>0.21</v>
      </c>
      <c r="C28" s="13" t="n">
        <f aca="false">(1307*(1+$B28)^4*C$22-2000)/63</f>
        <v>324.021660275556</v>
      </c>
      <c r="D28" s="13" t="n">
        <f aca="false">(1307*(1+$B28)^4*D$22-2000)/63</f>
        <v>368.492621778254</v>
      </c>
      <c r="E28" s="13" t="n">
        <f aca="false">(1307*(1+$B28)^4*E$22-2000)/63</f>
        <v>412.963583280952</v>
      </c>
      <c r="F28" s="13" t="n">
        <f aca="false">(1307*(1+$B28)^4*F$22-2000)/63</f>
        <v>457.434544783651</v>
      </c>
      <c r="G28" s="13" t="n">
        <f aca="false">(1307*(1+$B28)^4*G$22-2000)/63</f>
        <v>501.905506286349</v>
      </c>
      <c r="H28" s="13" t="n">
        <f aca="false">(1307*(1+$B28)^4*H$22-2000)/63</f>
        <v>546.376467789048</v>
      </c>
      <c r="I28" s="13" t="n">
        <f aca="false">(1307*(1+$B28)^4*I$22-2000)/63</f>
        <v>635.318390794444</v>
      </c>
    </row>
    <row r="30" customFormat="false" ht="15" hidden="false" customHeight="true" outlineLevel="0" collapsed="false">
      <c r="B30" s="64" t="s">
        <v>173</v>
      </c>
      <c r="C30" s="64"/>
      <c r="D30" s="64"/>
      <c r="E30" s="64"/>
      <c r="F30" s="64"/>
      <c r="G30" s="64"/>
      <c r="H30" s="64"/>
      <c r="I30" s="64"/>
    </row>
    <row r="32" customFormat="false" ht="15" hidden="false" customHeight="true" outlineLevel="0" collapsed="false">
      <c r="B32" s="4" t="s">
        <v>174</v>
      </c>
      <c r="C32" s="4"/>
      <c r="D32" s="4"/>
      <c r="E32" s="4"/>
      <c r="F32" s="4"/>
    </row>
    <row r="33" customFormat="false" ht="15" hidden="false" customHeight="true" outlineLevel="0" collapsed="false">
      <c r="B33" s="5" t="s">
        <v>175</v>
      </c>
      <c r="C33" s="6" t="s">
        <v>176</v>
      </c>
    </row>
    <row r="34" customFormat="false" ht="15" hidden="false" customHeight="true" outlineLevel="0" collapsed="false">
      <c r="B34" s="5" t="s">
        <v>177</v>
      </c>
      <c r="C34" s="6" t="s">
        <v>178</v>
      </c>
    </row>
    <row r="35" customFormat="false" ht="15" hidden="false" customHeight="true" outlineLevel="0" collapsed="false">
      <c r="B35" s="5" t="s">
        <v>35</v>
      </c>
      <c r="C35" s="6" t="s">
        <v>179</v>
      </c>
    </row>
    <row r="36" customFormat="false" ht="15" hidden="false" customHeight="true" outlineLevel="0" collapsed="false">
      <c r="B36" s="5" t="s">
        <v>34</v>
      </c>
      <c r="C36" s="6" t="s">
        <v>180</v>
      </c>
    </row>
    <row r="37" customFormat="false" ht="15" hidden="false" customHeight="true" outlineLevel="0" collapsed="false">
      <c r="B37" s="5" t="s">
        <v>181</v>
      </c>
      <c r="C37" s="6" t="s">
        <v>182</v>
      </c>
    </row>
    <row r="38" customFormat="false" ht="15" hidden="false" customHeight="true" outlineLevel="0" collapsed="false">
      <c r="B38" s="5" t="s">
        <v>183</v>
      </c>
      <c r="C38" s="6" t="s">
        <v>184</v>
      </c>
    </row>
    <row r="39" customFormat="false" ht="15" hidden="false" customHeight="true" outlineLevel="0" collapsed="false">
      <c r="B39" s="5" t="s">
        <v>185</v>
      </c>
      <c r="C39" s="6" t="s">
        <v>186</v>
      </c>
    </row>
    <row r="40" customFormat="false" ht="15" hidden="false" customHeight="true" outlineLevel="0" collapsed="false">
      <c r="B40" s="5" t="s">
        <v>187</v>
      </c>
      <c r="C40" s="6" t="s">
        <v>188</v>
      </c>
    </row>
    <row r="41" customFormat="false" ht="15" hidden="false" customHeight="true" outlineLevel="0" collapsed="false">
      <c r="B41" s="5" t="s">
        <v>189</v>
      </c>
      <c r="C41" s="6" t="s">
        <v>190</v>
      </c>
    </row>
    <row r="44" customFormat="false" ht="15" hidden="false" customHeight="true" outlineLevel="0" collapsed="false">
      <c r="B44" s="31" t="s">
        <v>63</v>
      </c>
    </row>
    <row r="45" customFormat="false" ht="15" hidden="false" customHeight="true" outlineLevel="0" collapsed="false">
      <c r="B45" s="32" t="s">
        <v>64</v>
      </c>
    </row>
    <row r="46" customFormat="false" ht="15" hidden="false" customHeight="true" outlineLevel="0" collapsed="false">
      <c r="B46" s="31" t="s">
        <v>65</v>
      </c>
    </row>
  </sheetData>
  <mergeCells count="8">
    <mergeCell ref="B2:I2"/>
    <mergeCell ref="B3:I3"/>
    <mergeCell ref="B5:E5"/>
    <mergeCell ref="B14:F14"/>
    <mergeCell ref="B20:I20"/>
    <mergeCell ref="B21:I21"/>
    <mergeCell ref="B30:I30"/>
    <mergeCell ref="B32:F32"/>
  </mergeCells>
  <conditionalFormatting sqref="C23:I28">
    <cfRule type="colorScale" priority="2">
      <colorScale>
        <cfvo type="min" val="0"/>
        <cfvo type="percentile" val="50"/>
        <cfvo type="max" val="0"/>
        <color rgb="FFF8696B"/>
        <color rgb="FFFFEB84"/>
        <color rgb="FF63BE7B"/>
      </colorScale>
    </cfRule>
  </conditionalFormatting>
  <hyperlinks>
    <hyperlink ref="B45" r:id="rId1" display="Data: https://perplexity.ai/finance/FOU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39BB"/>
    <pageSetUpPr fitToPage="false"/>
  </sheetPr>
  <dimension ref="B2: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6" min="6" style="1" width="10"/>
    <col collapsed="false" customWidth="true" hidden="false" outlineLevel="0" max="8" min="7" style="1" width="14"/>
    <col collapsed="false" customWidth="true" hidden="false" outlineLevel="0" max="9" min="9" style="1" width="12"/>
    <col collapsed="false" customWidth="true" hidden="false" outlineLevel="0" max="10" min="10" style="1" width="14"/>
    <col collapsed="false" customWidth="true" hidden="false" outlineLevel="0" max="11" min="11" style="1" width="12"/>
  </cols>
  <sheetData>
    <row r="2" customFormat="false" ht="17.25" hidden="false" customHeight="true" outlineLevel="0" collapsed="false">
      <c r="B2" s="33" t="s">
        <v>191</v>
      </c>
      <c r="C2" s="33"/>
      <c r="D2" s="33"/>
      <c r="E2" s="33"/>
      <c r="F2" s="33"/>
      <c r="G2" s="33"/>
      <c r="H2" s="33"/>
      <c r="I2" s="33"/>
      <c r="J2" s="33"/>
      <c r="K2" s="33"/>
    </row>
    <row r="3" customFormat="false" ht="15" hidden="false" customHeight="true" outlineLevel="0" collapsed="false">
      <c r="B3" s="3" t="s">
        <v>192</v>
      </c>
      <c r="C3" s="3"/>
      <c r="D3" s="3"/>
      <c r="E3" s="3"/>
      <c r="F3" s="3"/>
      <c r="G3" s="3"/>
      <c r="H3" s="3"/>
      <c r="I3" s="3"/>
      <c r="J3" s="3"/>
      <c r="K3" s="3"/>
    </row>
    <row r="5" customFormat="false" ht="15" hidden="false" customHeight="true" outlineLevel="0" collapsed="false">
      <c r="B5" s="9" t="s">
        <v>4</v>
      </c>
      <c r="C5" s="9" t="s">
        <v>8</v>
      </c>
      <c r="D5" s="9" t="s">
        <v>193</v>
      </c>
      <c r="E5" s="9" t="s">
        <v>194</v>
      </c>
      <c r="F5" s="9" t="s">
        <v>195</v>
      </c>
      <c r="G5" s="9" t="s">
        <v>196</v>
      </c>
      <c r="H5" s="9" t="s">
        <v>197</v>
      </c>
      <c r="I5" s="9" t="s">
        <v>10</v>
      </c>
      <c r="J5" s="9" t="s">
        <v>198</v>
      </c>
      <c r="K5" s="9" t="s">
        <v>199</v>
      </c>
    </row>
    <row r="6" customFormat="false" ht="15" hidden="false" customHeight="true" outlineLevel="0" collapsed="false">
      <c r="B6" s="68" t="s">
        <v>200</v>
      </c>
      <c r="C6" s="68" t="s">
        <v>201</v>
      </c>
      <c r="D6" s="69" t="s">
        <v>13</v>
      </c>
      <c r="E6" s="69" t="s">
        <v>17</v>
      </c>
      <c r="F6" s="69" t="s">
        <v>202</v>
      </c>
      <c r="G6" s="69" t="s">
        <v>203</v>
      </c>
      <c r="H6" s="69" t="s">
        <v>204</v>
      </c>
      <c r="I6" s="69" t="s">
        <v>205</v>
      </c>
      <c r="J6" s="69" t="s">
        <v>206</v>
      </c>
      <c r="K6" s="69" t="s">
        <v>207</v>
      </c>
    </row>
    <row r="7" customFormat="false" ht="15" hidden="false" customHeight="true" outlineLevel="0" collapsed="false">
      <c r="B7" s="70" t="s">
        <v>208</v>
      </c>
      <c r="C7" s="70" t="s">
        <v>209</v>
      </c>
      <c r="D7" s="71" t="s">
        <v>210</v>
      </c>
      <c r="E7" s="71" t="s">
        <v>211</v>
      </c>
      <c r="F7" s="71" t="s">
        <v>212</v>
      </c>
      <c r="G7" s="71" t="s">
        <v>213</v>
      </c>
      <c r="H7" s="71" t="s">
        <v>214</v>
      </c>
      <c r="I7" s="71" t="s">
        <v>215</v>
      </c>
      <c r="J7" s="71" t="s">
        <v>216</v>
      </c>
      <c r="K7" s="71" t="s">
        <v>217</v>
      </c>
    </row>
    <row r="8" customFormat="false" ht="15" hidden="false" customHeight="true" outlineLevel="0" collapsed="false">
      <c r="B8" s="70" t="s">
        <v>218</v>
      </c>
      <c r="C8" s="70" t="s">
        <v>219</v>
      </c>
      <c r="D8" s="71" t="s">
        <v>220</v>
      </c>
      <c r="E8" s="71" t="s">
        <v>221</v>
      </c>
      <c r="F8" s="71" t="s">
        <v>222</v>
      </c>
      <c r="G8" s="71" t="s">
        <v>223</v>
      </c>
      <c r="H8" s="71" t="s">
        <v>224</v>
      </c>
      <c r="I8" s="71" t="s">
        <v>225</v>
      </c>
      <c r="J8" s="71" t="s">
        <v>226</v>
      </c>
      <c r="K8" s="71" t="s">
        <v>227</v>
      </c>
    </row>
    <row r="9" customFormat="false" ht="15" hidden="false" customHeight="true" outlineLevel="0" collapsed="false">
      <c r="B9" s="70" t="s">
        <v>228</v>
      </c>
      <c r="C9" s="70" t="s">
        <v>229</v>
      </c>
      <c r="D9" s="71" t="s">
        <v>230</v>
      </c>
      <c r="E9" s="71" t="s">
        <v>231</v>
      </c>
      <c r="F9" s="71" t="s">
        <v>232</v>
      </c>
      <c r="G9" s="71" t="s">
        <v>233</v>
      </c>
      <c r="H9" s="71" t="s">
        <v>234</v>
      </c>
      <c r="I9" s="71" t="s">
        <v>235</v>
      </c>
      <c r="J9" s="71" t="s">
        <v>236</v>
      </c>
      <c r="K9" s="71" t="s">
        <v>237</v>
      </c>
    </row>
    <row r="10" customFormat="false" ht="15" hidden="false" customHeight="true" outlineLevel="0" collapsed="false">
      <c r="B10" s="70" t="s">
        <v>238</v>
      </c>
      <c r="C10" s="70" t="s">
        <v>239</v>
      </c>
      <c r="D10" s="71" t="s">
        <v>240</v>
      </c>
      <c r="E10" s="71" t="s">
        <v>241</v>
      </c>
      <c r="F10" s="71" t="s">
        <v>242</v>
      </c>
      <c r="G10" s="71" t="s">
        <v>243</v>
      </c>
      <c r="H10" s="71" t="s">
        <v>244</v>
      </c>
      <c r="I10" s="71" t="s">
        <v>245</v>
      </c>
      <c r="J10" s="71" t="s">
        <v>246</v>
      </c>
      <c r="K10" s="71" t="s">
        <v>247</v>
      </c>
    </row>
    <row r="11" customFormat="false" ht="15" hidden="false" customHeight="true" outlineLevel="0" collapsed="false">
      <c r="B11" s="70" t="s">
        <v>248</v>
      </c>
      <c r="C11" s="70" t="s">
        <v>249</v>
      </c>
      <c r="D11" s="71" t="s">
        <v>250</v>
      </c>
      <c r="E11" s="71" t="s">
        <v>251</v>
      </c>
      <c r="F11" s="71" t="s">
        <v>252</v>
      </c>
      <c r="G11" s="71" t="s">
        <v>253</v>
      </c>
      <c r="H11" s="71" t="s">
        <v>254</v>
      </c>
      <c r="I11" s="71" t="s">
        <v>255</v>
      </c>
      <c r="J11" s="71" t="s">
        <v>256</v>
      </c>
      <c r="K11" s="71" t="s">
        <v>257</v>
      </c>
    </row>
    <row r="12" customFormat="false" ht="15" hidden="false" customHeight="true" outlineLevel="0" collapsed="false">
      <c r="B12" s="70" t="s">
        <v>258</v>
      </c>
      <c r="C12" s="70" t="s">
        <v>259</v>
      </c>
      <c r="D12" s="71" t="s">
        <v>260</v>
      </c>
      <c r="E12" s="71" t="s">
        <v>261</v>
      </c>
      <c r="F12" s="71" t="s">
        <v>262</v>
      </c>
      <c r="G12" s="71" t="s">
        <v>263</v>
      </c>
      <c r="H12" s="71" t="s">
        <v>263</v>
      </c>
      <c r="I12" s="71" t="s">
        <v>263</v>
      </c>
      <c r="J12" s="71" t="s">
        <v>263</v>
      </c>
      <c r="K12" s="71" t="s">
        <v>263</v>
      </c>
    </row>
    <row r="14" customFormat="false" ht="15" hidden="false" customHeight="true" outlineLevel="0" collapsed="false">
      <c r="B14" s="4" t="s">
        <v>264</v>
      </c>
      <c r="C14" s="4"/>
      <c r="D14" s="4"/>
      <c r="E14" s="4"/>
      <c r="F14" s="4"/>
      <c r="G14" s="4"/>
      <c r="H14" s="4"/>
      <c r="I14" s="4"/>
      <c r="J14" s="4"/>
      <c r="K14" s="4"/>
    </row>
    <row r="15" customFormat="false" ht="39.75" hidden="false" customHeight="true" outlineLevel="0" collapsed="false">
      <c r="B15" s="72" t="s">
        <v>265</v>
      </c>
      <c r="C15" s="72"/>
      <c r="D15" s="72"/>
      <c r="E15" s="72"/>
      <c r="F15" s="72"/>
      <c r="G15" s="72"/>
      <c r="H15" s="72"/>
      <c r="I15" s="72"/>
      <c r="J15" s="72"/>
      <c r="K15" s="72"/>
    </row>
    <row r="17" customFormat="false" ht="15" hidden="false" customHeight="true" outlineLevel="0" collapsed="false">
      <c r="B17" s="4" t="s">
        <v>266</v>
      </c>
      <c r="C17" s="4"/>
      <c r="D17" s="4"/>
      <c r="E17" s="4"/>
      <c r="F17" s="4"/>
      <c r="G17" s="4"/>
      <c r="H17" s="4"/>
      <c r="I17" s="4"/>
      <c r="J17" s="4"/>
      <c r="K17" s="4"/>
    </row>
    <row r="18" customFormat="false" ht="15" hidden="false" customHeight="true" outlineLevel="0" collapsed="false">
      <c r="B18" s="5" t="s">
        <v>267</v>
      </c>
      <c r="C18" s="5"/>
      <c r="D18" s="5"/>
      <c r="E18" s="5"/>
      <c r="F18" s="5"/>
      <c r="G18" s="73" t="s">
        <v>7</v>
      </c>
    </row>
    <row r="19" customFormat="false" ht="15" hidden="false" customHeight="true" outlineLevel="0" collapsed="false">
      <c r="B19" s="5" t="s">
        <v>268</v>
      </c>
      <c r="C19" s="5"/>
      <c r="D19" s="5"/>
      <c r="E19" s="5"/>
      <c r="F19" s="5"/>
      <c r="G19" s="73" t="s">
        <v>269</v>
      </c>
    </row>
    <row r="20" customFormat="false" ht="15" hidden="false" customHeight="true" outlineLevel="0" collapsed="false">
      <c r="B20" s="5" t="s">
        <v>14</v>
      </c>
      <c r="C20" s="5"/>
      <c r="D20" s="5"/>
      <c r="E20" s="5"/>
      <c r="F20" s="5"/>
      <c r="G20" s="73" t="s">
        <v>15</v>
      </c>
    </row>
    <row r="21" customFormat="false" ht="15" hidden="false" customHeight="true" outlineLevel="0" collapsed="false">
      <c r="B21" s="5" t="s">
        <v>18</v>
      </c>
      <c r="C21" s="5"/>
      <c r="D21" s="5"/>
      <c r="E21" s="5"/>
      <c r="F21" s="5"/>
      <c r="G21" s="73" t="s">
        <v>19</v>
      </c>
    </row>
    <row r="24" customFormat="false" ht="15" hidden="false" customHeight="true" outlineLevel="0" collapsed="false">
      <c r="B24" s="31" t="s">
        <v>63</v>
      </c>
    </row>
    <row r="25" customFormat="false" ht="15" hidden="false" customHeight="true" outlineLevel="0" collapsed="false">
      <c r="B25" s="32" t="s">
        <v>64</v>
      </c>
    </row>
    <row r="26" customFormat="false" ht="15" hidden="false" customHeight="true" outlineLevel="0" collapsed="false">
      <c r="B26" s="31" t="s">
        <v>65</v>
      </c>
    </row>
  </sheetData>
  <mergeCells count="9">
    <mergeCell ref="B2:K2"/>
    <mergeCell ref="B3:K3"/>
    <mergeCell ref="B14:K14"/>
    <mergeCell ref="B15:K15"/>
    <mergeCell ref="B17:K17"/>
    <mergeCell ref="B18:F18"/>
    <mergeCell ref="B19:F19"/>
    <mergeCell ref="B20:F20"/>
    <mergeCell ref="B21:F21"/>
  </mergeCells>
  <hyperlinks>
    <hyperlink ref="B25" r:id="rId1" display="Data: https://perplexity.ai/finance/FOU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3544"/>
    <pageSetUpPr fitToPage="false"/>
  </sheetPr>
  <dimension ref="B2: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6" min="3" style="1" width="16"/>
  </cols>
  <sheetData>
    <row r="2" customFormat="false" ht="17.25" hidden="false" customHeight="true" outlineLevel="0" collapsed="false">
      <c r="B2" s="33" t="s">
        <v>270</v>
      </c>
      <c r="C2" s="33"/>
      <c r="D2" s="33"/>
      <c r="E2" s="33"/>
      <c r="F2" s="33"/>
    </row>
    <row r="3" customFormat="false" ht="15" hidden="false" customHeight="true" outlineLevel="0" collapsed="false">
      <c r="B3" s="3" t="s">
        <v>271</v>
      </c>
      <c r="C3" s="3"/>
      <c r="D3" s="3"/>
      <c r="E3" s="3"/>
      <c r="F3" s="3"/>
    </row>
    <row r="5" customFormat="false" ht="15" hidden="false" customHeight="true" outlineLevel="0" collapsed="false">
      <c r="B5" s="4" t="s">
        <v>272</v>
      </c>
      <c r="C5" s="4"/>
      <c r="D5" s="4"/>
    </row>
    <row r="6" customFormat="false" ht="15" hidden="false" customHeight="true" outlineLevel="0" collapsed="false">
      <c r="B6" s="9"/>
      <c r="C6" s="9" t="s">
        <v>273</v>
      </c>
    </row>
    <row r="7" customFormat="false" ht="15" hidden="false" customHeight="true" outlineLevel="0" collapsed="false">
      <c r="B7" s="70" t="s">
        <v>274</v>
      </c>
      <c r="C7" s="54" t="n">
        <v>84.6</v>
      </c>
    </row>
    <row r="8" customFormat="false" ht="15" hidden="false" customHeight="true" outlineLevel="0" collapsed="false">
      <c r="B8" s="70" t="s">
        <v>275</v>
      </c>
      <c r="C8" s="54" t="n">
        <v>-3.4</v>
      </c>
    </row>
    <row r="9" customFormat="false" ht="15" hidden="false" customHeight="true" outlineLevel="0" collapsed="false">
      <c r="B9" s="70"/>
      <c r="C9" s="54" t="n">
        <v>0</v>
      </c>
    </row>
    <row r="11" customFormat="false" ht="15" hidden="false" customHeight="true" outlineLevel="0" collapsed="false">
      <c r="B11" s="5" t="s">
        <v>276</v>
      </c>
      <c r="C11" s="59" t="n">
        <f aca="false">SUM(C7:C9)</f>
        <v>81.2</v>
      </c>
    </row>
    <row r="13" customFormat="false" ht="15" hidden="false" customHeight="true" outlineLevel="0" collapsed="false">
      <c r="B13" s="4" t="s">
        <v>277</v>
      </c>
      <c r="C13" s="4"/>
      <c r="D13" s="4"/>
    </row>
    <row r="14" customFormat="false" ht="15" hidden="false" customHeight="true" outlineLevel="0" collapsed="false">
      <c r="B14" s="9" t="s">
        <v>278</v>
      </c>
      <c r="C14" s="9" t="s">
        <v>273</v>
      </c>
    </row>
    <row r="15" customFormat="false" ht="15" hidden="false" customHeight="true" outlineLevel="0" collapsed="false">
      <c r="B15" s="5" t="s">
        <v>279</v>
      </c>
      <c r="C15" s="54" t="n">
        <v>23.5</v>
      </c>
    </row>
    <row r="16" customFormat="false" ht="15" hidden="false" customHeight="true" outlineLevel="0" collapsed="false">
      <c r="B16" s="5" t="s">
        <v>280</v>
      </c>
      <c r="C16" s="54" t="n">
        <v>6.8</v>
      </c>
    </row>
    <row r="17" customFormat="false" ht="15" hidden="false" customHeight="true" outlineLevel="0" collapsed="false">
      <c r="B17" s="5" t="s">
        <v>281</v>
      </c>
      <c r="C17" s="54" t="n">
        <v>6.6</v>
      </c>
    </row>
    <row r="18" customFormat="false" ht="15" hidden="false" customHeight="true" outlineLevel="0" collapsed="false">
      <c r="B18" s="5" t="s">
        <v>282</v>
      </c>
      <c r="C18" s="54" t="n">
        <v>5.6</v>
      </c>
    </row>
    <row r="19" customFormat="false" ht="15" hidden="false" customHeight="true" outlineLevel="0" collapsed="false">
      <c r="B19" s="5" t="s">
        <v>283</v>
      </c>
      <c r="C19" s="54" t="n">
        <v>2.6</v>
      </c>
    </row>
    <row r="20" customFormat="false" ht="15" hidden="false" customHeight="true" outlineLevel="0" collapsed="false">
      <c r="B20" s="5" t="s">
        <v>284</v>
      </c>
      <c r="C20" s="59" t="n">
        <f aca="false">SUM(C15:C19)</f>
        <v>45.1</v>
      </c>
    </row>
    <row r="21" customFormat="false" ht="15" hidden="false" customHeight="true" outlineLevel="0" collapsed="false">
      <c r="B21" s="64" t="s">
        <v>285</v>
      </c>
      <c r="C21" s="64"/>
      <c r="D21" s="64"/>
    </row>
    <row r="23" customFormat="false" ht="15" hidden="false" customHeight="true" outlineLevel="0" collapsed="false">
      <c r="B23" s="4" t="s">
        <v>286</v>
      </c>
      <c r="C23" s="4"/>
      <c r="D23" s="4"/>
    </row>
    <row r="24" customFormat="false" ht="15" hidden="false" customHeight="true" outlineLevel="0" collapsed="false">
      <c r="B24" s="5" t="s">
        <v>287</v>
      </c>
      <c r="C24" s="74" t="n">
        <f aca="false">C11</f>
        <v>81.2</v>
      </c>
    </row>
    <row r="25" customFormat="false" ht="15" hidden="false" customHeight="true" outlineLevel="0" collapsed="false">
      <c r="B25" s="5" t="s">
        <v>288</v>
      </c>
      <c r="C25" s="74" t="n">
        <f aca="false">-C20</f>
        <v>-45.1</v>
      </c>
    </row>
    <row r="26" customFormat="false" ht="15" hidden="false" customHeight="true" outlineLevel="0" collapsed="false">
      <c r="B26" s="35" t="s">
        <v>289</v>
      </c>
      <c r="C26" s="59" t="n">
        <f aca="false">C24+C25</f>
        <v>36.1</v>
      </c>
    </row>
    <row r="28" customFormat="false" ht="15" hidden="false" customHeight="true" outlineLevel="0" collapsed="false">
      <c r="B28" s="5" t="s">
        <v>290</v>
      </c>
      <c r="C28" s="54" t="n">
        <v>16.2</v>
      </c>
    </row>
    <row r="29" customFormat="false" ht="15" hidden="false" customHeight="true" outlineLevel="0" collapsed="false">
      <c r="B29" s="35" t="s">
        <v>291</v>
      </c>
      <c r="C29" s="75" t="n">
        <f aca="false">C28/C26</f>
        <v>0.448753462603878</v>
      </c>
    </row>
    <row r="31" customFormat="false" ht="15" hidden="false" customHeight="true" outlineLevel="0" collapsed="false">
      <c r="B31" s="4" t="s">
        <v>292</v>
      </c>
      <c r="C31" s="4"/>
      <c r="D31" s="4"/>
    </row>
    <row r="32" customFormat="false" ht="15" hidden="false" customHeight="true" outlineLevel="0" collapsed="false">
      <c r="B32" s="5" t="s">
        <v>293</v>
      </c>
      <c r="C32" s="57" t="n">
        <v>10.5</v>
      </c>
    </row>
    <row r="33" customFormat="false" ht="15" hidden="false" customHeight="true" outlineLevel="0" collapsed="false">
      <c r="B33" s="5" t="s">
        <v>294</v>
      </c>
      <c r="C33" s="55" t="n">
        <f aca="false">C26-C32</f>
        <v>25.6</v>
      </c>
    </row>
    <row r="34" customFormat="false" ht="15" hidden="false" customHeight="true" outlineLevel="0" collapsed="false">
      <c r="B34" s="35" t="s">
        <v>295</v>
      </c>
      <c r="C34" s="76" t="n">
        <f aca="false">C28/C33</f>
        <v>0.6328125</v>
      </c>
    </row>
    <row r="36" customFormat="false" ht="30" hidden="false" customHeight="true" outlineLevel="0" collapsed="false">
      <c r="B36" s="77" t="s">
        <v>296</v>
      </c>
      <c r="C36" s="77"/>
      <c r="D36" s="77"/>
      <c r="E36" s="77"/>
    </row>
    <row r="38" customFormat="false" ht="15" hidden="false" customHeight="true" outlineLevel="0" collapsed="false">
      <c r="B38" s="31" t="s">
        <v>63</v>
      </c>
    </row>
    <row r="39" customFormat="false" ht="15" hidden="false" customHeight="true" outlineLevel="0" collapsed="false">
      <c r="B39" s="32" t="s">
        <v>64</v>
      </c>
    </row>
    <row r="40" customFormat="false" ht="15" hidden="false" customHeight="true" outlineLevel="0" collapsed="false">
      <c r="B40" s="31" t="s">
        <v>65</v>
      </c>
    </row>
  </sheetData>
  <mergeCells count="8">
    <mergeCell ref="B2:F2"/>
    <mergeCell ref="B3:F3"/>
    <mergeCell ref="B5:D5"/>
    <mergeCell ref="B13:D13"/>
    <mergeCell ref="B21:D21"/>
    <mergeCell ref="B23:D23"/>
    <mergeCell ref="B31:D31"/>
    <mergeCell ref="B36:E36"/>
  </mergeCells>
  <hyperlinks>
    <hyperlink ref="B39" r:id="rId1" display="Data: https://perplexity.ai/finance/FOU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2026-04-02T01:24:50Z</dcterms:created>
  <dc:creator>openpyxl</dc:creator>
  <dc:description/>
  <dc:language>en-US</dc:language>
  <cp:lastModifiedBy/>
  <dcterms:modified xsi:type="dcterms:W3CDTF">2026-04-08T14:24:28Z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